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dent\Desktop\MyDataAnalyticsClass\Advanced Excel\assignment 2 wk 2\"/>
    </mc:Choice>
  </mc:AlternateContent>
  <xr:revisionPtr revIDLastSave="0" documentId="8_{E73FE75D-2DCA-493F-A448-D393370A6B9F}" xr6:coauthVersionLast="47" xr6:coauthVersionMax="47" xr10:uidLastSave="{00000000-0000-0000-0000-000000000000}"/>
  <bookViews>
    <workbookView xWindow="-108" yWindow="-108" windowWidth="23256" windowHeight="13896" firstSheet="2" activeTab="11" xr2:uid="{6E62BBE7-BF60-4CCE-959B-0384634CBFA6}"/>
  </bookViews>
  <sheets>
    <sheet name="Raw Customer Data" sheetId="2" r:id="rId1"/>
    <sheet name="Customer Data" sheetId="3" r:id="rId2"/>
    <sheet name="Auto" sheetId="1" r:id="rId3"/>
    <sheet name="DOB" sheetId="4" r:id="rId4"/>
    <sheet name="Balance" sheetId="5" r:id="rId5"/>
    <sheet name="Credit limit" sheetId="6" r:id="rId6"/>
    <sheet name="sum" sheetId="7" r:id="rId7"/>
    <sheet name="First Name" sheetId="8" r:id="rId8"/>
    <sheet name="Custom Sort" sheetId="9" r:id="rId9"/>
    <sheet name="top 3" sheetId="10" r:id="rId10"/>
    <sheet name="M first" sheetId="11" r:id="rId11"/>
    <sheet name="Highlight" sheetId="12" r:id="rId12"/>
  </sheets>
  <definedNames>
    <definedName name="ExternalData_1" localSheetId="2" hidden="1">Auto!$A$1:$I$11</definedName>
    <definedName name="ExternalData_1" localSheetId="4" hidden="1">Balance!$A$1:$I$11</definedName>
    <definedName name="ExternalData_1" localSheetId="5" hidden="1">'Credit limit'!$A$1:$I$11</definedName>
    <definedName name="ExternalData_1" localSheetId="1" hidden="1">'Customer Data'!$A$1:$I$11</definedName>
    <definedName name="ExternalData_1" localSheetId="3" hidden="1">DOB!$A$1:$I$11</definedName>
    <definedName name="ExternalData_1" localSheetId="11" hidden="1">Highlight!$A$1:$I$11</definedName>
    <definedName name="ExternalData_1" localSheetId="10" hidden="1">'M first'!$A$1:$I$11</definedName>
    <definedName name="ExternalData_1" localSheetId="0" hidden="1">'Raw Customer Data'!$A$1:$I$11</definedName>
    <definedName name="ExternalData_1" localSheetId="6" hidden="1">sum!$A$1:$I$11</definedName>
    <definedName name="ExternalData_1" localSheetId="9" hidden="1">'top 3'!$A$1:$I$11</definedName>
    <definedName name="ExternalData_2" localSheetId="8" hidden="1">'Custom Sort'!$A$1:$I$11</definedName>
    <definedName name="ExternalData_2" localSheetId="7" hidden="1">'First Name'!$A$1:$I$11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2" l="1"/>
  <c r="H12" i="11"/>
  <c r="H12" i="10"/>
  <c r="H12" i="9"/>
  <c r="H12" i="8"/>
  <c r="H12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BAE2C9-5181-4C61-AB32-41F2C7CBDA15}" keepAlive="1" name="Query - Customer Data" description="Connection to the 'Customer Data' query in the workbook." type="5" refreshedVersion="8" background="1" saveData="1">
    <dbPr connection="Provider=Microsoft.Mashup.OleDb.1;Data Source=$Workbook$;Location=&quot;Customer Data&quot;;Extended Properties=&quot;&quot;" command="SELECT * FROM [Customer Data]"/>
  </connection>
  <connection id="2" xr16:uid="{9857C999-5CDB-40C6-B91F-412C5257B39A}" keepAlive="1" name="Query - Customer Data (10)" description="Connection to the 'Customer Data (10)' query in the workbook." type="5" refreshedVersion="8" background="1" saveData="1">
    <dbPr connection="Provider=Microsoft.Mashup.OleDb.1;Data Source=$Workbook$;Location=&quot;Customer Data (10)&quot;;Extended Properties=&quot;&quot;" command="SELECT * FROM [Customer Data (10)]"/>
  </connection>
  <connection id="3" xr16:uid="{B4BD7758-3D22-46F9-A222-2BE5B96DDCC1}" keepAlive="1" name="Query - Customer Data (11)" description="Connection to the 'Customer Data (11)' query in the workbook." type="5" refreshedVersion="8" background="1" saveData="1">
    <dbPr connection="Provider=Microsoft.Mashup.OleDb.1;Data Source=$Workbook$;Location=&quot;Customer Data (11)&quot;;Extended Properties=&quot;&quot;" command="SELECT * FROM [Customer Data (11)]"/>
  </connection>
  <connection id="4" xr16:uid="{9B3CF44E-AB08-41A3-A6D4-37E9CF1827D3}" keepAlive="1" name="Query - Customer Data (12)" description="Connection to the 'Customer Data (12)' query in the workbook." type="5" refreshedVersion="8" background="1" saveData="1">
    <dbPr connection="Provider=Microsoft.Mashup.OleDb.1;Data Source=$Workbook$;Location=&quot;Customer Data (12)&quot;;Extended Properties=&quot;&quot;" command="SELECT * FROM [Customer Data (12)]"/>
  </connection>
  <connection id="5" xr16:uid="{03726FEF-C46F-4EF8-B163-F36681919E26}" keepAlive="1" name="Query - Customer Data (13)" description="Connection to the 'Customer Data (13)' query in the workbook." type="5" refreshedVersion="8" background="1" saveData="1">
    <dbPr connection="Provider=Microsoft.Mashup.OleDb.1;Data Source=$Workbook$;Location=&quot;Customer Data (13)&quot;;Extended Properties=&quot;&quot;" command="SELECT * FROM [Customer Data (13)]"/>
  </connection>
  <connection id="6" xr16:uid="{C9550643-FC7C-427D-A477-A7F2790C3180}" keepAlive="1" name="Query - Customer Data (14)" description="Connection to the 'Customer Data (14)' query in the workbook." type="5" refreshedVersion="8" background="1" saveData="1">
    <dbPr connection="Provider=Microsoft.Mashup.OleDb.1;Data Source=$Workbook$;Location=&quot;Customer Data (14)&quot;;Extended Properties=&quot;&quot;" command="SELECT * FROM [Customer Data (14)]"/>
  </connection>
  <connection id="7" xr16:uid="{69DD3359-742C-45C5-9E98-3142921420E3}" keepAlive="1" name="Query - Customer Data (15)" description="Connection to the 'Customer Data (15)' query in the workbook." type="5" refreshedVersion="8" background="1" saveData="1">
    <dbPr connection="Provider=Microsoft.Mashup.OleDb.1;Data Source=$Workbook$;Location=&quot;Customer Data (15)&quot;;Extended Properties=&quot;&quot;" command="SELECT * FROM [Customer Data (15)]"/>
  </connection>
  <connection id="8" xr16:uid="{E7558F2E-A5A1-4F78-84BC-E16D4989FD84}" keepAlive="1" name="Query - Customer Data (16)" description="Connection to the 'Customer Data (16)' query in the workbook." type="5" refreshedVersion="8" background="1" saveData="1">
    <dbPr connection="Provider=Microsoft.Mashup.OleDb.1;Data Source=$Workbook$;Location=&quot;Customer Data (16)&quot;;Extended Properties=&quot;&quot;" command="SELECT * FROM [Customer Data (16)]"/>
  </connection>
  <connection id="9" xr16:uid="{92C94592-5AD0-452B-9611-4F33D5880FFF}" keepAlive="1" name="Query - Customer Data (17)" description="Connection to the 'Customer Data (17)' query in the workbook." type="5" refreshedVersion="8" background="1" saveData="1">
    <dbPr connection="Provider=Microsoft.Mashup.OleDb.1;Data Source=$Workbook$;Location=&quot;Customer Data (17)&quot;;Extended Properties=&quot;&quot;" command="SELECT * FROM [Customer Data (17)]"/>
  </connection>
  <connection id="10" xr16:uid="{8DC672E5-ACF3-429D-87F0-7E5451298D38}" keepAlive="1" name="Query - Customer Data (2)" description="Connection to the 'Customer Data (2)' query in the workbook." type="5" refreshedVersion="8" background="1" saveData="1">
    <dbPr connection="Provider=Microsoft.Mashup.OleDb.1;Data Source=$Workbook$;Location=&quot;Customer Data (2)&quot;;Extended Properties=&quot;&quot;" command="SELECT * FROM [Customer Data (2)]"/>
  </connection>
  <connection id="11" xr16:uid="{BB339C51-4B9F-4560-8F25-F68BEB815A46}" keepAlive="1" name="Query - Customer Data (3)" description="Connection to the 'Customer Data (3)' query in the workbook." type="5" refreshedVersion="8" background="1" saveData="1">
    <dbPr connection="Provider=Microsoft.Mashup.OleDb.1;Data Source=$Workbook$;Location=&quot;Customer Data (3)&quot;;Extended Properties=&quot;&quot;" command="SELECT * FROM [Customer Data (3)]"/>
  </connection>
  <connection id="12" xr16:uid="{A783BF65-0038-4865-9B13-713F96F43A4F}" keepAlive="1" name="Query - Customer Data (4)" description="Connection to the 'Customer Data (4)' query in the workbook." type="5" refreshedVersion="8" background="1" saveData="1">
    <dbPr connection="Provider=Microsoft.Mashup.OleDb.1;Data Source=$Workbook$;Location=&quot;Customer Data (4)&quot;;Extended Properties=&quot;&quot;" command="SELECT * FROM [Customer Data (4)]"/>
  </connection>
  <connection id="13" xr16:uid="{EE0B3849-E700-466C-BDEF-A98A2287ED97}" keepAlive="1" name="Query - Customer Data (5)" description="Connection to the 'Customer Data (5)' query in the workbook." type="5" refreshedVersion="8" background="1" saveData="1">
    <dbPr connection="Provider=Microsoft.Mashup.OleDb.1;Data Source=$Workbook$;Location=&quot;Customer Data (5)&quot;;Extended Properties=&quot;&quot;" command="SELECT * FROM [Customer Data (5)]"/>
  </connection>
  <connection id="14" xr16:uid="{18600AB1-169F-465E-9A75-35A398FB7F73}" keepAlive="1" name="Query - Customer Data (6)" description="Connection to the 'Customer Data (6)' query in the workbook." type="5" refreshedVersion="8" background="1" saveData="1">
    <dbPr connection="Provider=Microsoft.Mashup.OleDb.1;Data Source=$Workbook$;Location=&quot;Customer Data (6)&quot;;Extended Properties=&quot;&quot;" command="SELECT * FROM [Customer Data (6)]"/>
  </connection>
  <connection id="15" xr16:uid="{3519BDA7-8709-4CA4-866E-28F453D5CA72}" keepAlive="1" name="Query - Customer Data (7)" description="Connection to the 'Customer Data (7)' query in the workbook." type="5" refreshedVersion="8" background="1" saveData="1">
    <dbPr connection="Provider=Microsoft.Mashup.OleDb.1;Data Source=$Workbook$;Location=&quot;Customer Data (7)&quot;;Extended Properties=&quot;&quot;" command="SELECT * FROM [Customer Data (7)]"/>
  </connection>
  <connection id="16" xr16:uid="{5EA0B5A8-5763-42E8-965B-1310E9659811}" keepAlive="1" name="Query - Customer Data (8)" description="Connection to the 'Customer Data (8)' query in the workbook." type="5" refreshedVersion="8" background="1" saveData="1">
    <dbPr connection="Provider=Microsoft.Mashup.OleDb.1;Data Source=$Workbook$;Location=&quot;Customer Data (8)&quot;;Extended Properties=&quot;&quot;" command="SELECT * FROM [Customer Data (8)]"/>
  </connection>
  <connection id="17" xr16:uid="{1AE77A0F-6A8C-4220-AA4E-3FF35138114B}" keepAlive="1" name="Query - Customer Data (9)" description="Connection to the 'Customer Data (9)' query in the workbook." type="5" refreshedVersion="8" background="1" saveData="1">
    <dbPr connection="Provider=Microsoft.Mashup.OleDb.1;Data Source=$Workbook$;Location=&quot;Customer Data (9)&quot;;Extended Properties=&quot;&quot;" command="SELECT * FROM [Customer Data (9)]"/>
  </connection>
</connections>
</file>

<file path=xl/sharedStrings.xml><?xml version="1.0" encoding="utf-8"?>
<sst xmlns="http://schemas.openxmlformats.org/spreadsheetml/2006/main" count="708" uniqueCount="52">
  <si>
    <t>Customer Number</t>
  </si>
  <si>
    <t>Last Name</t>
  </si>
  <si>
    <t>First Name</t>
  </si>
  <si>
    <t>Street</t>
  </si>
  <si>
    <t>City</t>
  </si>
  <si>
    <t>Phone</t>
  </si>
  <si>
    <t>Credit Limit</t>
  </si>
  <si>
    <t>Balance</t>
  </si>
  <si>
    <t>DOB</t>
  </si>
  <si>
    <t>Alvarez</t>
  </si>
  <si>
    <t>Frances</t>
  </si>
  <si>
    <t>23 Robbins St.</t>
  </si>
  <si>
    <t>Grant City</t>
  </si>
  <si>
    <t>555-4321</t>
  </si>
  <si>
    <t>Breaton</t>
  </si>
  <si>
    <t>Alex</t>
  </si>
  <si>
    <t>345 Levick St.</t>
  </si>
  <si>
    <t>Empeer</t>
  </si>
  <si>
    <t>555-6987</t>
  </si>
  <si>
    <t>Ferdon</t>
  </si>
  <si>
    <t>Jean</t>
  </si>
  <si>
    <t>68 Passmore Ave.</t>
  </si>
  <si>
    <t>555-3412</t>
  </si>
  <si>
    <t>Gammort</t>
  </si>
  <si>
    <t>Frank</t>
  </si>
  <si>
    <t>98 Magee Ave.</t>
  </si>
  <si>
    <t>Portage</t>
  </si>
  <si>
    <t>555-8789</t>
  </si>
  <si>
    <t>Heijer</t>
  </si>
  <si>
    <t>Bill</t>
  </si>
  <si>
    <t>314 Oakley St.</t>
  </si>
  <si>
    <t>555-1111</t>
  </si>
  <si>
    <t>Klinger</t>
  </si>
  <si>
    <t>Cynthia</t>
  </si>
  <si>
    <t>44 Rising Sun Ave.</t>
  </si>
  <si>
    <t>555-4576</t>
  </si>
  <si>
    <t>Manston</t>
  </si>
  <si>
    <t>Lisa</t>
  </si>
  <si>
    <t>67 Fanshawe St.</t>
  </si>
  <si>
    <t>555-8787</t>
  </si>
  <si>
    <t>Prestz</t>
  </si>
  <si>
    <t>Martin</t>
  </si>
  <si>
    <t>40 Magee Ave.</t>
  </si>
  <si>
    <t>555-4454</t>
  </si>
  <si>
    <t>Santoro</t>
  </si>
  <si>
    <t>Maria</t>
  </si>
  <si>
    <t>134 Castor Ave.</t>
  </si>
  <si>
    <t>555-9780</t>
  </si>
  <si>
    <t>Trent</t>
  </si>
  <si>
    <t>Gerry</t>
  </si>
  <si>
    <t>167 Martin Rd.</t>
  </si>
  <si>
    <t>555-2222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</si>
</sst>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$&quot;#,##0.00"/>
  </numFmts>
  <fonts count="5" x14ac:knownFonts="1"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3"/>
      <color theme="3"/>
      <name val="Calibri"/>
      <family val="2"/>
    </font>
    <font>
      <sz val="11"/>
      <color theme="1"/>
      <name val="Calibri"/>
      <family val="2"/>
    </font>
    <font>
      <b/>
      <sz val="13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4">
    <xf numFmtId="0" fontId="0" fillId="0" borderId="0" xfId="0"/>
    <xf numFmtId="0" fontId="0" fillId="0" borderId="0" xfId="0" applyNumberFormat="1"/>
    <xf numFmtId="14" fontId="0" fillId="0" borderId="0" xfId="0" applyNumberFormat="1"/>
    <xf numFmtId="4" fontId="0" fillId="0" borderId="0" xfId="0" applyNumberFormat="1"/>
    <xf numFmtId="165" fontId="0" fillId="0" borderId="0" xfId="0" applyNumberFormat="1"/>
    <xf numFmtId="0" fontId="2" fillId="0" borderId="1" xfId="1" applyFont="1" applyAlignment="1">
      <alignment horizontal="center" vertical="center"/>
    </xf>
    <xf numFmtId="165" fontId="2" fillId="0" borderId="1" xfId="1" applyNumberFormat="1" applyFont="1" applyAlignment="1">
      <alignment horizontal="center" vertical="center"/>
    </xf>
    <xf numFmtId="4" fontId="2" fillId="0" borderId="1" xfId="1" applyNumberFormat="1" applyFont="1" applyAlignment="1">
      <alignment horizontal="center" vertical="center"/>
    </xf>
    <xf numFmtId="14" fontId="2" fillId="0" borderId="1" xfId="1" applyNumberFormat="1" applyFont="1" applyAlignment="1">
      <alignment horizontal="center" vertical="center"/>
    </xf>
    <xf numFmtId="0" fontId="3" fillId="0" borderId="0" xfId="0" applyFont="1"/>
    <xf numFmtId="0" fontId="3" fillId="0" borderId="0" xfId="0" applyNumberFormat="1" applyFont="1"/>
    <xf numFmtId="165" fontId="3" fillId="0" borderId="0" xfId="0" applyNumberFormat="1" applyFont="1"/>
    <xf numFmtId="4" fontId="3" fillId="0" borderId="0" xfId="0" applyNumberFormat="1" applyFont="1"/>
    <xf numFmtId="14" fontId="3" fillId="0" borderId="0" xfId="0" applyNumberFormat="1" applyFont="1"/>
    <xf numFmtId="0" fontId="3" fillId="0" borderId="0" xfId="0" applyNumberFormat="1" applyFont="1" applyAlignment="1">
      <alignment horizontal="left"/>
    </xf>
    <xf numFmtId="14" fontId="3" fillId="0" borderId="0" xfId="0" applyNumberFormat="1" applyFont="1" applyAlignment="1">
      <alignment horizontal="center" vertical="center"/>
    </xf>
    <xf numFmtId="0" fontId="4" fillId="0" borderId="1" xfId="1" applyFont="1" applyAlignment="1">
      <alignment horizontal="center" vertical="center"/>
    </xf>
    <xf numFmtId="165" fontId="4" fillId="0" borderId="1" xfId="1" applyNumberFormat="1" applyFont="1" applyAlignment="1">
      <alignment horizontal="center" vertical="center"/>
    </xf>
    <xf numFmtId="4" fontId="4" fillId="0" borderId="1" xfId="1" applyNumberFormat="1" applyFont="1" applyAlignment="1">
      <alignment horizontal="center" vertical="center"/>
    </xf>
    <xf numFmtId="14" fontId="4" fillId="0" borderId="1" xfId="1" applyNumberFormat="1" applyFont="1" applyAlignment="1">
      <alignment horizontal="center" vertical="center"/>
    </xf>
    <xf numFmtId="0" fontId="3" fillId="0" borderId="0" xfId="0" applyFont="1" applyAlignment="1">
      <alignment horizontal="right"/>
    </xf>
    <xf numFmtId="165" fontId="3" fillId="0" borderId="0" xfId="0" applyNumberFormat="1" applyFont="1" applyAlignment="1"/>
    <xf numFmtId="4" fontId="3" fillId="0" borderId="0" xfId="0" applyNumberFormat="1" applyFont="1" applyAlignment="1">
      <alignment horizontal="right"/>
    </xf>
    <xf numFmtId="14" fontId="4" fillId="0" borderId="1" xfId="1" applyNumberFormat="1" applyFont="1" applyAlignment="1">
      <alignment horizontal="center" vertical="center"/>
    </xf>
  </cellXfs>
  <cellStyles count="2">
    <cellStyle name="Heading 2" xfId="1" builtinId="17"/>
    <cellStyle name="Normal" xfId="0" builtinId="0"/>
  </cellStyles>
  <dxfs count="180">
    <dxf>
      <fill>
        <patternFill patternType="solid">
          <fgColor rgb="FF00B050"/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  <outline val="0"/>
        <shadow val="0"/>
        <u val="none"/>
        <vertAlign val="baseline"/>
        <sz val="13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3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3"/>
        <color theme="3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4" formatCode="#,##0.0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&quot;$&quot;#,##0.0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3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19" formatCode="m/d/yyyy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165" formatCode="&quot;$&quot;#,##0.0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165" formatCode="&quot;$&quot;#,##0.0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3"/>
        <color theme="3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3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&quot;$&quot;#,##0.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&quot;$&quot;#,##0.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&quot;$&quot;#,##0.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&quot;$&quot;#,##0.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&quot;$&quot;#,##0.0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165" formatCode="&quot;$&quot;#,##0.0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numFmt numFmtId="165" formatCode="&quot;$&quot;#,##0.00"/>
    </dxf>
    <dxf>
      <numFmt numFmtId="4" formatCode="#,##0.00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&quot;$&quot;#,##0.00"/>
    </dxf>
    <dxf>
      <numFmt numFmtId="4" formatCode="#,##0.00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B9481C5-6D17-4C2B-AE25-53BFFC5888EA}" autoFormatId="16" applyNumberFormats="0" applyBorderFormats="0" applyFontFormats="0" applyPatternFormats="0" applyAlignmentFormats="0" applyWidthHeightFormats="0">
  <queryTableRefresh nextId="10">
    <queryTableFields count="9">
      <queryTableField id="1" name="Customer Number" tableColumnId="1"/>
      <queryTableField id="2" name="Last Name" tableColumnId="2"/>
      <queryTableField id="3" name="First Name" tableColumnId="3"/>
      <queryTableField id="4" name="Street" tableColumnId="4"/>
      <queryTableField id="5" name="City" tableColumnId="5"/>
      <queryTableField id="6" name="Phone" tableColumnId="6"/>
      <queryTableField id="7" name="Credit Limit" tableColumnId="7"/>
      <queryTableField id="8" name="Balance" tableColumnId="8"/>
      <queryTableField id="9" name="DOB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298369C3-76D8-4DE3-BF55-113ED43F8F26}" autoFormatId="16" applyNumberFormats="0" applyBorderFormats="0" applyFontFormats="0" applyPatternFormats="0" applyAlignmentFormats="0" applyWidthHeightFormats="0">
  <queryTableRefresh nextId="10">
    <queryTableFields count="9">
      <queryTableField id="1" name="Customer Number" tableColumnId="1"/>
      <queryTableField id="2" name="Last Name" tableColumnId="2"/>
      <queryTableField id="3" name="First Name" tableColumnId="3"/>
      <queryTableField id="4" name="Street" tableColumnId="4"/>
      <queryTableField id="5" name="City" tableColumnId="5"/>
      <queryTableField id="6" name="Phone" tableColumnId="6"/>
      <queryTableField id="7" name="Credit Limit" tableColumnId="7"/>
      <queryTableField id="8" name="Balance" tableColumnId="8"/>
      <queryTableField id="9" name="DOB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E3666F8D-9CEF-4539-8F75-D6993A1B4B49}" autoFormatId="16" applyNumberFormats="0" applyBorderFormats="0" applyFontFormats="0" applyPatternFormats="0" applyAlignmentFormats="0" applyWidthHeightFormats="0">
  <queryTableRefresh nextId="10">
    <queryTableFields count="9">
      <queryTableField id="1" name="Customer Number" tableColumnId="1"/>
      <queryTableField id="2" name="Last Name" tableColumnId="2"/>
      <queryTableField id="3" name="First Name" tableColumnId="3"/>
      <queryTableField id="4" name="Street" tableColumnId="4"/>
      <queryTableField id="5" name="City" tableColumnId="5"/>
      <queryTableField id="6" name="Phone" tableColumnId="6"/>
      <queryTableField id="7" name="Credit Limit" tableColumnId="7"/>
      <queryTableField id="8" name="Balance" tableColumnId="8"/>
      <queryTableField id="9" name="DOB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9334ED92-E2AC-404A-A453-E1B60AC0121B}" autoFormatId="16" applyNumberFormats="0" applyBorderFormats="0" applyFontFormats="0" applyPatternFormats="0" applyAlignmentFormats="0" applyWidthHeightFormats="0">
  <queryTableRefresh nextId="10">
    <queryTableFields count="9">
      <queryTableField id="1" name="Customer Number" tableColumnId="1"/>
      <queryTableField id="2" name="Last Name" tableColumnId="2"/>
      <queryTableField id="3" name="First Name" tableColumnId="3"/>
      <queryTableField id="4" name="Street" tableColumnId="4"/>
      <queryTableField id="5" name="City" tableColumnId="5"/>
      <queryTableField id="6" name="Phone" tableColumnId="6"/>
      <queryTableField id="7" name="Credit Limit" tableColumnId="7"/>
      <queryTableField id="8" name="Balance" tableColumnId="8"/>
      <queryTableField id="9" name="DOB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80B2C991-752B-49A9-B6A3-9B7B53E18002}" autoFormatId="16" applyNumberFormats="0" applyBorderFormats="0" applyFontFormats="0" applyPatternFormats="0" applyAlignmentFormats="0" applyWidthHeightFormats="0">
  <queryTableRefresh nextId="10">
    <queryTableFields count="9">
      <queryTableField id="1" name="Customer Number" tableColumnId="1"/>
      <queryTableField id="2" name="Last Name" tableColumnId="2"/>
      <queryTableField id="3" name="First Name" tableColumnId="3"/>
      <queryTableField id="4" name="Street" tableColumnId="4"/>
      <queryTableField id="5" name="City" tableColumnId="5"/>
      <queryTableField id="6" name="Phone" tableColumnId="6"/>
      <queryTableField id="7" name="Credit Limit" tableColumnId="7"/>
      <queryTableField id="8" name="Balance" tableColumnId="8"/>
      <queryTableField id="9" name="DOB" tableColumnId="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8F52FFC1-6503-4202-A16D-B59F4607A896}" autoFormatId="16" applyNumberFormats="0" applyBorderFormats="0" applyFontFormats="0" applyPatternFormats="0" applyAlignmentFormats="0" applyWidthHeightFormats="0">
  <queryTableRefresh nextId="10">
    <queryTableFields count="9">
      <queryTableField id="1" name="Customer Number" tableColumnId="1"/>
      <queryTableField id="2" name="Last Name" tableColumnId="2"/>
      <queryTableField id="3" name="First Name" tableColumnId="3"/>
      <queryTableField id="4" name="Street" tableColumnId="4"/>
      <queryTableField id="5" name="City" tableColumnId="5"/>
      <queryTableField id="6" name="Phone" tableColumnId="6"/>
      <queryTableField id="7" name="Credit Limit" tableColumnId="7"/>
      <queryTableField id="8" name="Balance" tableColumnId="8"/>
      <queryTableField id="9" name="DOB" tableColumnId="9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8E187206-7110-4514-80EE-EA8820BA7067}" autoFormatId="16" applyNumberFormats="0" applyBorderFormats="0" applyFontFormats="0" applyPatternFormats="0" applyAlignmentFormats="0" applyWidthHeightFormats="0">
  <queryTableRefresh nextId="10">
    <queryTableFields count="9">
      <queryTableField id="1" name="Customer Number" tableColumnId="1"/>
      <queryTableField id="2" name="Last Name" tableColumnId="2"/>
      <queryTableField id="3" name="First Name" tableColumnId="3"/>
      <queryTableField id="4" name="Street" tableColumnId="4"/>
      <queryTableField id="5" name="City" tableColumnId="5"/>
      <queryTableField id="6" name="Phone" tableColumnId="6"/>
      <queryTableField id="7" name="Credit Limit" tableColumnId="7"/>
      <queryTableField id="8" name="Balance" tableColumnId="8"/>
      <queryTableField id="9" name="DOB" tableColumnId="9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8B032F2A-D190-4AB2-9CE4-BB921E6CDDA4}" autoFormatId="16" applyNumberFormats="0" applyBorderFormats="0" applyFontFormats="0" applyPatternFormats="0" applyAlignmentFormats="0" applyWidthHeightFormats="0">
  <queryTableRefresh nextId="10">
    <queryTableFields count="9">
      <queryTableField id="1" name="Customer Number" tableColumnId="1"/>
      <queryTableField id="2" name="Last Name" tableColumnId="2"/>
      <queryTableField id="3" name="First Name" tableColumnId="3"/>
      <queryTableField id="4" name="Street" tableColumnId="4"/>
      <queryTableField id="5" name="City" tableColumnId="5"/>
      <queryTableField id="6" name="Phone" tableColumnId="6"/>
      <queryTableField id="7" name="Credit Limit" tableColumnId="7"/>
      <queryTableField id="8" name="Balance" tableColumnId="8"/>
      <queryTableField id="9" name="DOB" tableColumnId="9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9A84EE09-5BB1-4A4B-9875-CDD191A7DAB2}" autoFormatId="16" applyNumberFormats="0" applyBorderFormats="0" applyFontFormats="0" applyPatternFormats="0" applyAlignmentFormats="0" applyWidthHeightFormats="0">
  <queryTableRefresh nextId="10">
    <queryTableFields count="9">
      <queryTableField id="1" name="Customer Number" tableColumnId="1"/>
      <queryTableField id="2" name="Last Name" tableColumnId="2"/>
      <queryTableField id="3" name="First Name" tableColumnId="3"/>
      <queryTableField id="4" name="Street" tableColumnId="4"/>
      <queryTableField id="5" name="City" tableColumnId="5"/>
      <queryTableField id="6" name="Phone" tableColumnId="6"/>
      <queryTableField id="7" name="Credit Limit" tableColumnId="7"/>
      <queryTableField id="8" name="Balance" tableColumnId="8"/>
      <queryTableField id="9" name="DOB" tableColumnId="9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B4CAABD9-B623-4631-B1FC-9725B1781749}" autoFormatId="16" applyNumberFormats="0" applyBorderFormats="0" applyFontFormats="0" applyPatternFormats="0" applyAlignmentFormats="0" applyWidthHeightFormats="0">
  <queryTableRefresh nextId="10">
    <queryTableFields count="9">
      <queryTableField id="1" name="Customer Number" tableColumnId="1"/>
      <queryTableField id="2" name="Last Name" tableColumnId="2"/>
      <queryTableField id="3" name="First Name" tableColumnId="3"/>
      <queryTableField id="4" name="Street" tableColumnId="4"/>
      <queryTableField id="5" name="City" tableColumnId="5"/>
      <queryTableField id="6" name="Phone" tableColumnId="6"/>
      <queryTableField id="7" name="Credit Limit" tableColumnId="7"/>
      <queryTableField id="8" name="Balance" tableColumnId="8"/>
      <queryTableField id="9" name="DOB" tableColumnId="9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2904199E-D302-473A-8CB4-C29A228E1B7F}" autoFormatId="16" applyNumberFormats="0" applyBorderFormats="0" applyFontFormats="0" applyPatternFormats="0" applyAlignmentFormats="0" applyWidthHeightFormats="0">
  <queryTableRefresh nextId="10">
    <queryTableFields count="9">
      <queryTableField id="1" name="Customer Number" tableColumnId="1"/>
      <queryTableField id="2" name="Last Name" tableColumnId="2"/>
      <queryTableField id="3" name="First Name" tableColumnId="3"/>
      <queryTableField id="4" name="Street" tableColumnId="4"/>
      <queryTableField id="5" name="City" tableColumnId="5"/>
      <queryTableField id="6" name="Phone" tableColumnId="6"/>
      <queryTableField id="7" name="Credit Limit" tableColumnId="7"/>
      <queryTableField id="8" name="Balance" tableColumnId="8"/>
      <queryTableField id="9" name="DOB" tableColumnId="9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BAD9A1F3-3318-4428-A36E-9F50EE71723C}" autoFormatId="16" applyNumberFormats="0" applyBorderFormats="0" applyFontFormats="0" applyPatternFormats="0" applyAlignmentFormats="0" applyWidthHeightFormats="0">
  <queryTableRefresh nextId="10">
    <queryTableFields count="9">
      <queryTableField id="1" name="Customer Number" tableColumnId="1"/>
      <queryTableField id="2" name="Last Name" tableColumnId="2"/>
      <queryTableField id="3" name="First Name" tableColumnId="3"/>
      <queryTableField id="4" name="Street" tableColumnId="4"/>
      <queryTableField id="5" name="City" tableColumnId="5"/>
      <queryTableField id="6" name="Phone" tableColumnId="6"/>
      <queryTableField id="7" name="Credit Limit" tableColumnId="7"/>
      <queryTableField id="8" name="Balance" tableColumnId="8"/>
      <queryTableField id="9" name="DOB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83070E-C66D-4D33-84F4-08CCF8F0CA58}" name="Customer_Data" displayName="Customer_Data" ref="A1:I11" tableType="queryTable" totalsRowShown="0">
  <autoFilter ref="A1:I11" xr:uid="{4883070E-C66D-4D33-84F4-08CCF8F0CA58}"/>
  <tableColumns count="9">
    <tableColumn id="1" xr3:uid="{85741BE9-6AC2-4902-B1CF-3EA825863E7A}" uniqueName="1" name="Customer Number" queryTableFieldId="1"/>
    <tableColumn id="2" xr3:uid="{6FA1834F-5C46-4CDF-98AB-EC709AB44AA1}" uniqueName="2" name="Last Name" queryTableFieldId="2" dataDxfId="179"/>
    <tableColumn id="3" xr3:uid="{3ECB650F-3A34-4F11-BE3F-163A21261186}" uniqueName="3" name="First Name" queryTableFieldId="3" dataDxfId="178"/>
    <tableColumn id="4" xr3:uid="{07B7DFE5-BC97-4E2B-84E5-02C0BC55829D}" uniqueName="4" name="Street" queryTableFieldId="4" dataDxfId="177"/>
    <tableColumn id="5" xr3:uid="{21A9F13E-469D-459A-A42A-BA78C2F0841F}" uniqueName="5" name="City" queryTableFieldId="5" dataDxfId="176"/>
    <tableColumn id="6" xr3:uid="{D0F680DF-D360-493D-8E04-B143E9B2F20B}" uniqueName="6" name="Phone" queryTableFieldId="6" dataDxfId="175"/>
    <tableColumn id="7" xr3:uid="{9F62B1B0-183E-4AB0-8404-7BD30BB613B6}" uniqueName="7" name="Credit Limit" queryTableFieldId="7"/>
    <tableColumn id="8" xr3:uid="{03C1EF60-6941-45B8-8FB9-23EBE3F1A705}" uniqueName="8" name="Balance" queryTableFieldId="8"/>
    <tableColumn id="9" xr3:uid="{8BEE17F6-60AB-4FE6-9EFD-BA5E9FC3F529}" uniqueName="9" name="DOB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322E55-3B59-49F3-AF87-93E8EE7B2276}" name="Customer_Data3" displayName="Customer_Data3" ref="A1:I11" tableType="queryTable" totalsRowShown="0">
  <autoFilter ref="A1:I11" xr:uid="{4883070E-C66D-4D33-84F4-08CCF8F0CA58}"/>
  <tableColumns count="9">
    <tableColumn id="1" xr3:uid="{5FC6152A-C2B5-40B5-ACE8-027E93680D79}" uniqueName="1" name="Customer Number" queryTableFieldId="1"/>
    <tableColumn id="2" xr3:uid="{8ED77B73-3022-4F39-AD4A-08FBF9553FA1}" uniqueName="2" name="Last Name" queryTableFieldId="2" dataDxfId="174"/>
    <tableColumn id="3" xr3:uid="{E39CC954-AEA1-4913-8093-FADC21099DB4}" uniqueName="3" name="First Name" queryTableFieldId="3" dataDxfId="173"/>
    <tableColumn id="4" xr3:uid="{84B2BB63-58F8-4167-BB0B-25F80768C6F4}" uniqueName="4" name="Street" queryTableFieldId="4" dataDxfId="172"/>
    <tableColumn id="5" xr3:uid="{1F32C94E-13A8-4898-9EDF-518991A6765C}" uniqueName="5" name="City" queryTableFieldId="5" dataDxfId="171"/>
    <tableColumn id="6" xr3:uid="{AE671C5B-2368-4597-B601-1409855E6670}" uniqueName="6" name="Phone" queryTableFieldId="6" dataDxfId="170"/>
    <tableColumn id="7" xr3:uid="{BDA01F35-0935-4287-9B0D-D484A531776E}" uniqueName="7" name="Credit Limit" queryTableFieldId="7"/>
    <tableColumn id="8" xr3:uid="{4D79DFA9-AD7B-4DA4-9119-2FC8AA8A3B7C}" uniqueName="8" name="Balance" queryTableFieldId="8"/>
    <tableColumn id="9" xr3:uid="{35EC2E35-C518-4B15-B92F-9B65F576BEBC}" uniqueName="9" name="DOB" queryTableField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9A8262F-FA38-4A21-93CF-86FD5578194A}" name="Customer_Data34" displayName="Customer_Data34" ref="A1:I11" tableType="queryTable" totalsRowShown="0" headerRowDxfId="15" dataDxfId="5" headerRowCellStyle="Heading 2">
  <autoFilter ref="A1:I11" xr:uid="{19A8262F-FA38-4A21-93CF-86FD5578194A}"/>
  <tableColumns count="9">
    <tableColumn id="1" xr3:uid="{3D05D479-997C-46AE-84B1-C1EB6BE7EE0D}" uniqueName="1" name="Customer Number" queryTableFieldId="1" dataDxfId="14"/>
    <tableColumn id="2" xr3:uid="{27E6D84D-9532-4319-9AB5-FA3CE4EE412B}" uniqueName="2" name="Last Name" queryTableFieldId="2" dataDxfId="13"/>
    <tableColumn id="3" xr3:uid="{A6819015-9245-44C0-90C6-6C6D03C9DFC8}" uniqueName="3" name="First Name" queryTableFieldId="3" dataDxfId="12"/>
    <tableColumn id="4" xr3:uid="{1B157ED5-1E81-4946-86B7-C33189986121}" uniqueName="4" name="Street" queryTableFieldId="4" dataDxfId="11"/>
    <tableColumn id="5" xr3:uid="{0CF213E6-E581-4463-A6CB-72CDFB3BB577}" uniqueName="5" name="City" queryTableFieldId="5" dataDxfId="10"/>
    <tableColumn id="6" xr3:uid="{1E20A46D-AE6A-4249-9D38-77CE6E202249}" uniqueName="6" name="Phone" queryTableFieldId="6" dataDxfId="9"/>
    <tableColumn id="7" xr3:uid="{9DA49C9F-A156-4025-9A9F-C0B88C28FB9D}" uniqueName="7" name="Credit Limit" queryTableFieldId="7" dataDxfId="8"/>
    <tableColumn id="8" xr3:uid="{AA87C7B7-E0A3-46F0-A16B-41958CCB6C2E}" uniqueName="8" name="Balance" queryTableFieldId="8" dataDxfId="7"/>
    <tableColumn id="9" xr3:uid="{D1385956-BEF8-4B35-9323-FB1FECCFD907}" uniqueName="9" name="DOB" queryTableFieldId="9" dataDxfId="6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0919B9F-EFCF-41C8-B7B8-428D1947FC7E}" name="Customer_Data35" displayName="Customer_Data35" ref="A1:I11" tableType="queryTable" totalsRowShown="0" headerRowDxfId="16" dataDxfId="19" headerRowCellStyle="Heading 2">
  <autoFilter ref="A1:I11" xr:uid="{40919B9F-EFCF-41C8-B7B8-428D1947FC7E}"/>
  <tableColumns count="9">
    <tableColumn id="1" xr3:uid="{39E0E01D-AC50-40C1-81B3-5699B1EC74D5}" uniqueName="1" name="Customer Number" queryTableFieldId="1" dataDxfId="26"/>
    <tableColumn id="2" xr3:uid="{04B64D08-4F33-4355-8874-91FF43B6D534}" uniqueName="2" name="Last Name" queryTableFieldId="2" dataDxfId="25"/>
    <tableColumn id="3" xr3:uid="{36BE1D14-67AE-41A3-ADB6-A4376E1AC6DA}" uniqueName="3" name="First Name" queryTableFieldId="3" dataDxfId="24"/>
    <tableColumn id="4" xr3:uid="{6BD35450-88F3-412F-BE5A-CE33BB988812}" uniqueName="4" name="Street" queryTableFieldId="4" dataDxfId="23"/>
    <tableColumn id="5" xr3:uid="{A107CBB7-38A9-42CC-92C9-81616108EA21}" uniqueName="5" name="City" queryTableFieldId="5" dataDxfId="22"/>
    <tableColumn id="6" xr3:uid="{207F6F73-1D46-46D8-B620-4EF406938D4B}" uniqueName="6" name="Phone" queryTableFieldId="6" dataDxfId="21"/>
    <tableColumn id="7" xr3:uid="{FEED3A47-E47D-4511-AAAA-CFA68609B425}" uniqueName="7" name="Credit Limit" queryTableFieldId="7" dataDxfId="20"/>
    <tableColumn id="8" xr3:uid="{BFD166CB-109A-4E00-B786-F32271C810ED}" uniqueName="8" name="Balance" queryTableFieldId="8" dataDxfId="18"/>
    <tableColumn id="9" xr3:uid="{E4E2021E-00EA-4F0E-8C71-65E173A7B36F}" uniqueName="9" name="DOB" queryTableFieldId="9" dataDxfId="17"/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ECCBA64-1B55-43E2-B5FC-2A3D25FE4537}" name="Customer_Data36" displayName="Customer_Data36" ref="A1:I11" tableType="queryTable" totalsRowShown="0" headerRowDxfId="37" dataDxfId="29" headerRowCellStyle="Heading 2">
  <autoFilter ref="A1:I11" xr:uid="{8ECCBA64-1B55-43E2-B5FC-2A3D25FE4537}"/>
  <tableColumns count="9">
    <tableColumn id="1" xr3:uid="{A5DB8A30-9503-4656-BC12-93262A4E91F7}" uniqueName="1" name="Customer Number" queryTableFieldId="1" dataDxfId="36"/>
    <tableColumn id="2" xr3:uid="{1D5B8836-A727-413B-A42F-56AA25F403A3}" uniqueName="2" name="Last Name" queryTableFieldId="2" dataDxfId="35"/>
    <tableColumn id="3" xr3:uid="{CCA333E1-6BB4-4C03-BBE5-1147F23DBA11}" uniqueName="3" name="First Name" queryTableFieldId="3" dataDxfId="34"/>
    <tableColumn id="4" xr3:uid="{B4EE8C34-DC8D-4900-BC78-5E7B6B3486AE}" uniqueName="4" name="Street" queryTableFieldId="4" dataDxfId="33"/>
    <tableColumn id="5" xr3:uid="{1FC4751D-54F3-43A4-9FFD-C950D38BC221}" uniqueName="5" name="City" queryTableFieldId="5" dataDxfId="32"/>
    <tableColumn id="6" xr3:uid="{2468C995-4954-4629-9A4E-A2633F2178BD}" uniqueName="6" name="Phone" queryTableFieldId="6" dataDxfId="31"/>
    <tableColumn id="7" xr3:uid="{1CFC0E54-CAE2-4532-8E83-334231BF77A8}" uniqueName="7" name="Credit Limit" queryTableFieldId="7" dataDxfId="30"/>
    <tableColumn id="8" xr3:uid="{65DF3EA2-48E8-4862-A275-EA23A048AF9D}" uniqueName="8" name="Balance" queryTableFieldId="8" dataDxfId="28"/>
    <tableColumn id="9" xr3:uid="{56630336-FBF4-47BB-86AB-80B00EE5502D}" uniqueName="9" name="DOB" queryTableFieldId="9" dataDxfId="27"/>
  </tableColumns>
  <tableStyleInfo name="TableStyleMedium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8A887E2-0412-4F07-B8AD-22B8C250F98B}" name="Customer_Data37" displayName="Customer_Data37" ref="A1:I11" tableType="queryTable" totalsRowShown="0" headerRowDxfId="48" dataDxfId="47" headerRowCellStyle="Heading 2">
  <autoFilter ref="A1:I11" xr:uid="{88A887E2-0412-4F07-B8AD-22B8C250F98B}"/>
  <tableColumns count="9">
    <tableColumn id="1" xr3:uid="{4FC28518-629B-42DC-B252-1953341FB983}" uniqueName="1" name="Customer Number" queryTableFieldId="1" dataDxfId="46"/>
    <tableColumn id="2" xr3:uid="{D18716FF-7253-4C68-8432-ABFAF1090F89}" uniqueName="2" name="Last Name" queryTableFieldId="2" dataDxfId="45"/>
    <tableColumn id="3" xr3:uid="{889980CF-4671-44DD-B8FC-99FC80D9A18C}" uniqueName="3" name="First Name" queryTableFieldId="3" dataDxfId="44"/>
    <tableColumn id="4" xr3:uid="{877A6444-8CA3-4DBF-B025-408D28D46F2F}" uniqueName="4" name="Street" queryTableFieldId="4" dataDxfId="43"/>
    <tableColumn id="5" xr3:uid="{3085E744-E455-4A9E-916A-02363D15149B}" uniqueName="5" name="City" queryTableFieldId="5" dataDxfId="42"/>
    <tableColumn id="6" xr3:uid="{A142CF8A-5042-4865-86CF-5AAC6CE0B5CE}" uniqueName="6" name="Phone" queryTableFieldId="6" dataDxfId="41"/>
    <tableColumn id="7" xr3:uid="{FEDAC375-F82F-430A-80D0-E3CA363A7BA8}" uniqueName="7" name="Credit Limit" queryTableFieldId="7" dataDxfId="40"/>
    <tableColumn id="8" xr3:uid="{3DD81D75-66F5-4C46-A475-F137FAC3B097}" uniqueName="8" name="Balance" queryTableFieldId="8" dataDxfId="38"/>
    <tableColumn id="9" xr3:uid="{2A2E2271-86F0-4949-9CE1-C00DD067CCA6}" uniqueName="9" name="DOB" queryTableFieldId="9" dataDxfId="39"/>
  </tableColumns>
  <tableStyleInfo name="TableStyleMedium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CA0CEB1-BEEB-4099-AA6B-5B62C30965AB}" name="Customer_Data38" displayName="Customer_Data38" ref="A1:I12" tableType="queryTable" totalsRowCount="1" headerRowDxfId="51" dataDxfId="49" totalsRowDxfId="50" headerRowCellStyle="Heading 2">
  <autoFilter ref="A1:I11" xr:uid="{2CA0CEB1-BEEB-4099-AA6B-5B62C30965AB}"/>
  <tableColumns count="9">
    <tableColumn id="1" xr3:uid="{52B087B0-D784-4E24-B391-5FF847C022EC}" uniqueName="1" name="Customer Number" queryTableFieldId="1" dataDxfId="69" totalsRowDxfId="68"/>
    <tableColumn id="2" xr3:uid="{FB072442-73A0-4F79-99BF-EEC470945B93}" uniqueName="2" name="Last Name" queryTableFieldId="2" dataDxfId="67" totalsRowDxfId="66"/>
    <tableColumn id="3" xr3:uid="{A1FF9758-0DCE-4D67-9210-F5C980EE68B9}" uniqueName="3" name="First Name" queryTableFieldId="3" dataDxfId="65" totalsRowDxfId="64"/>
    <tableColumn id="4" xr3:uid="{D1AAAE71-1C9A-4283-B468-BA6D0D85E77E}" uniqueName="4" name="Street" queryTableFieldId="4" dataDxfId="63" totalsRowDxfId="62"/>
    <tableColumn id="5" xr3:uid="{FCF8AA05-05DA-4FFD-988A-71A7680BFB4F}" uniqueName="5" name="City" queryTableFieldId="5" dataDxfId="61" totalsRowDxfId="60"/>
    <tableColumn id="6" xr3:uid="{6B1113C2-03C2-4DDB-94C9-260BBA0599E2}" uniqueName="6" name="Phone" queryTableFieldId="6" dataDxfId="59" totalsRowDxfId="58"/>
    <tableColumn id="7" xr3:uid="{67930AD1-4122-464F-85DA-41241DCB0AE5}" uniqueName="7" name="Credit Limit" queryTableFieldId="7" dataDxfId="57" totalsRowDxfId="56"/>
    <tableColumn id="8" xr3:uid="{A67A14F0-A1A0-4F55-BB9D-0A3241934593}" uniqueName="8" name="Balance" totalsRowFunction="custom" queryTableFieldId="8" dataDxfId="55" totalsRowDxfId="54">
      <totalsRowFormula>SUM(Customer_Data38[Balance])</totalsRowFormula>
    </tableColumn>
    <tableColumn id="9" xr3:uid="{9F5D8FB3-6CC6-47CD-A51C-5E87C0922ADD}" uniqueName="9" name="DOB" queryTableFieldId="9" dataDxfId="53" totalsRowDxfId="52"/>
  </tableColumns>
  <tableStyleInfo name="TableStyleMedium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F7BB3E9-D6D1-4778-B7E2-17AB4F2E6575}" name="Customer_Data315" displayName="Customer_Data315" ref="A1:I12" tableType="queryTable" totalsRowCount="1" headerRowDxfId="73" dataDxfId="76" totalsRowDxfId="77" headerRowCellStyle="Heading 2">
  <autoFilter ref="A1:I11" xr:uid="{0F7BB3E9-D6D1-4778-B7E2-17AB4F2E6575}"/>
  <sortState xmlns:xlrd2="http://schemas.microsoft.com/office/spreadsheetml/2017/richdata2" ref="A2:I11">
    <sortCondition ref="C1:C11"/>
  </sortState>
  <tableColumns count="9">
    <tableColumn id="1" xr3:uid="{522AF0A8-01C2-4779-ACBB-BC5A54E2575A}" uniqueName="1" name="Customer Number" queryTableFieldId="1" dataDxfId="93" totalsRowDxfId="92"/>
    <tableColumn id="2" xr3:uid="{823D26EC-88E3-469D-9AB0-C529C6140A1D}" uniqueName="2" name="Last Name" queryTableFieldId="2" dataDxfId="91" totalsRowDxfId="90"/>
    <tableColumn id="3" xr3:uid="{38DE2997-3EAC-46CD-8D18-63FDC18F76DA}" uniqueName="3" name="First Name" queryTableFieldId="3" dataDxfId="89" totalsRowDxfId="88"/>
    <tableColumn id="4" xr3:uid="{5D10162B-13B1-4212-AF6A-2DBAD4AFFE24}" uniqueName="4" name="Street" queryTableFieldId="4" dataDxfId="87" totalsRowDxfId="86"/>
    <tableColumn id="5" xr3:uid="{4A0766C0-91E3-4FEA-A9DB-12A0C81FE601}" uniqueName="5" name="City" queryTableFieldId="5" dataDxfId="85" totalsRowDxfId="84"/>
    <tableColumn id="6" xr3:uid="{7AB34B5C-C25E-46FC-8A36-DCDC98852258}" uniqueName="6" name="Phone" queryTableFieldId="6" dataDxfId="83" totalsRowDxfId="82"/>
    <tableColumn id="7" xr3:uid="{FF6FF0FF-05FC-4AC7-8319-C06AF4963BED}" uniqueName="7" name="Credit Limit" queryTableFieldId="7" dataDxfId="81" totalsRowDxfId="80"/>
    <tableColumn id="8" xr3:uid="{E4143EBC-3CE3-4366-A605-BBF6EA9FA278}" uniqueName="8" name="Balance" totalsRowFunction="custom" queryTableFieldId="8" dataDxfId="75" totalsRowDxfId="79">
      <totalsRowFormula>SUM(Customer_Data315[Balance])</totalsRowFormula>
    </tableColumn>
    <tableColumn id="9" xr3:uid="{B78F07F2-6443-4F65-BE73-3B63D21BF576}" uniqueName="9" name="DOB" queryTableFieldId="9" dataDxfId="74" totalsRowDxfId="78"/>
  </tableColumns>
  <tableStyleInfo name="TableStyleMedium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4D963CE-3F60-4A9F-A847-BB22B84D17F6}" name="Customer_Data316" displayName="Customer_Data316" ref="A1:I12" tableType="queryTable" totalsRowCount="1" headerRowDxfId="72" dataDxfId="98" totalsRowDxfId="99" headerRowCellStyle="Heading 2">
  <autoFilter ref="A1:I11" xr:uid="{04D963CE-3F60-4A9F-A847-BB22B84D17F6}"/>
  <sortState xmlns:xlrd2="http://schemas.microsoft.com/office/spreadsheetml/2017/richdata2" ref="A2:I11">
    <sortCondition descending="1" ref="G2:G11"/>
    <sortCondition ref="B2:B11"/>
  </sortState>
  <tableColumns count="9">
    <tableColumn id="1" xr3:uid="{BF544E9F-A644-4173-98A1-1920A5571F34}" uniqueName="1" name="Customer Number" queryTableFieldId="1" dataDxfId="115" totalsRowDxfId="114"/>
    <tableColumn id="2" xr3:uid="{C8CB434D-727C-472B-9319-6DC9AA7C737F}" uniqueName="2" name="Last Name" queryTableFieldId="2" dataDxfId="113" totalsRowDxfId="112"/>
    <tableColumn id="3" xr3:uid="{8D7E4BF3-4FF4-4D4F-B010-308EE2817516}" uniqueName="3" name="First Name" queryTableFieldId="3" dataDxfId="111" totalsRowDxfId="110"/>
    <tableColumn id="4" xr3:uid="{60569608-3752-45A9-B5EC-1AA2031DC573}" uniqueName="4" name="Street" queryTableFieldId="4" dataDxfId="109" totalsRowDxfId="108"/>
    <tableColumn id="5" xr3:uid="{7239F9CF-3A6D-49D0-BE6E-DF3C5C8DA9B4}" uniqueName="5" name="City" queryTableFieldId="5" dataDxfId="107" totalsRowDxfId="106"/>
    <tableColumn id="6" xr3:uid="{7856047A-C225-4823-A8B5-252484989FC2}" uniqueName="6" name="Phone" queryTableFieldId="6" dataDxfId="105" totalsRowDxfId="104"/>
    <tableColumn id="7" xr3:uid="{56084960-6259-42DA-85E7-5A8C697BB80F}" uniqueName="7" name="Credit Limit" queryTableFieldId="7" dataDxfId="103" totalsRowDxfId="102"/>
    <tableColumn id="8" xr3:uid="{1DF8A869-EA0E-478F-AD3F-7DD7DAA046AB}" uniqueName="8" name="Balance" totalsRowFunction="custom" queryTableFieldId="8" dataDxfId="97" totalsRowDxfId="101">
      <totalsRowFormula>SUM(Customer_Data316[Balance])</totalsRowFormula>
    </tableColumn>
    <tableColumn id="9" xr3:uid="{A104A945-9C79-4E9F-A4E7-2740E22D4811}" uniqueName="9" name="DOB" queryTableFieldId="9" dataDxfId="96" totalsRowDxfId="100"/>
  </tableColumns>
  <tableStyleInfo name="TableStyleMedium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B84FD203-98F9-40C7-AD93-C0EE29E4EDC3}" name="Customer_Data317" displayName="Customer_Data317" ref="A1:I12" tableType="queryTable" totalsRowCount="1" headerRowDxfId="71" totalsRowDxfId="116" headerRowCellStyle="Heading 2">
  <autoFilter ref="A1:I11" xr:uid="{B84FD203-98F9-40C7-AD93-C0EE29E4EDC3}">
    <filterColumn colId="6">
      <top10 val="3" filterVal="7222"/>
    </filterColumn>
  </autoFilter>
  <sortState xmlns:xlrd2="http://schemas.microsoft.com/office/spreadsheetml/2017/richdata2" ref="A2:I11">
    <sortCondition descending="1" ref="G2:G11"/>
    <sortCondition ref="B2:B11"/>
  </sortState>
  <tableColumns count="9">
    <tableColumn id="1" xr3:uid="{612E3807-7555-4790-9EE0-3F39728CEA51}" uniqueName="1" name="Customer Number" queryTableFieldId="1" totalsRowDxfId="125"/>
    <tableColumn id="2" xr3:uid="{D450BB47-4C43-4924-A7AD-D10D702BA9A7}" uniqueName="2" name="Last Name" queryTableFieldId="2" dataDxfId="169" totalsRowDxfId="124"/>
    <tableColumn id="3" xr3:uid="{A6073C5B-8D79-4BBB-9C36-5AB7B6FC8366}" uniqueName="3" name="First Name" queryTableFieldId="3" dataDxfId="168" totalsRowDxfId="123"/>
    <tableColumn id="4" xr3:uid="{24130869-5B73-4F58-9E29-FC5C6315B8D0}" uniqueName="4" name="Street" queryTableFieldId="4" dataDxfId="167" totalsRowDxfId="122"/>
    <tableColumn id="5" xr3:uid="{8D8192F1-61B0-4E60-8499-4CAA40042EA5}" uniqueName="5" name="City" queryTableFieldId="5" dataDxfId="166" totalsRowDxfId="121"/>
    <tableColumn id="6" xr3:uid="{3CCC3A68-9803-47BB-B21E-CA70FBE5F317}" uniqueName="6" name="Phone" queryTableFieldId="6" dataDxfId="165" totalsRowDxfId="120"/>
    <tableColumn id="7" xr3:uid="{A88840D6-C514-4093-85F1-D71270417615}" uniqueName="7" name="Credit Limit" queryTableFieldId="7" dataDxfId="162" totalsRowDxfId="119"/>
    <tableColumn id="8" xr3:uid="{8C20F47B-C449-4CE0-A6FD-D54C3811EF0A}" uniqueName="8" name="Balance" totalsRowFunction="custom" queryTableFieldId="8" dataDxfId="163" totalsRowDxfId="118">
      <totalsRowFormula>SUM(Customer_Data317[Balance])</totalsRowFormula>
    </tableColumn>
    <tableColumn id="9" xr3:uid="{3092EA57-BBF9-4B2A-B19D-39325535E7AD}" uniqueName="9" name="DOB" queryTableFieldId="9" dataDxfId="164" totalsRowDxfId="117"/>
  </tableColumns>
  <tableStyleInfo name="TableStyleMedium5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5CB3CF9-18D7-47AA-8F70-4F18C7EFB4CE}" name="Customer_Data318" displayName="Customer_Data318" ref="A1:I12" tableType="queryTable" totalsRowCount="1" headerRowDxfId="70" totalsRowDxfId="144" headerRowCellStyle="Heading 2">
  <autoFilter ref="A1:I11" xr:uid="{A5CB3CF9-18D7-47AA-8F70-4F18C7EFB4CE}">
    <filterColumn colId="2">
      <customFilters>
        <customFilter val="M*"/>
      </customFilters>
    </filterColumn>
  </autoFilter>
  <sortState xmlns:xlrd2="http://schemas.microsoft.com/office/spreadsheetml/2017/richdata2" ref="A2:I11">
    <sortCondition descending="1" ref="G2:G11"/>
    <sortCondition ref="B2:B11"/>
  </sortState>
  <tableColumns count="9">
    <tableColumn id="1" xr3:uid="{30BBD200-D6E1-487D-B17C-85989F5E7B8D}" uniqueName="1" name="Customer Number" queryTableFieldId="1" totalsRowDxfId="143"/>
    <tableColumn id="2" xr3:uid="{E651E1B4-8803-49E5-AF1C-5B4634D6AAA0}" uniqueName="2" name="Last Name" queryTableFieldId="2" dataDxfId="161" totalsRowDxfId="142"/>
    <tableColumn id="3" xr3:uid="{B81CA022-0CD0-407C-9BFA-7E8B9FB3CB06}" uniqueName="3" name="First Name" queryTableFieldId="3" dataDxfId="160" totalsRowDxfId="141"/>
    <tableColumn id="4" xr3:uid="{4D5B816A-6759-42F4-9906-0ADB9AE179F0}" uniqueName="4" name="Street" queryTableFieldId="4" dataDxfId="159" totalsRowDxfId="140"/>
    <tableColumn id="5" xr3:uid="{0DB412C6-8DC2-42D8-B884-6C804F36319C}" uniqueName="5" name="City" queryTableFieldId="5" dataDxfId="158" totalsRowDxfId="139"/>
    <tableColumn id="6" xr3:uid="{8593143D-FC42-426F-A081-600365485B2B}" uniqueName="6" name="Phone" queryTableFieldId="6" dataDxfId="157" totalsRowDxfId="138"/>
    <tableColumn id="7" xr3:uid="{10AB3EED-A702-4DBC-A42E-F161FEA290E5}" uniqueName="7" name="Credit Limit" queryTableFieldId="7" dataDxfId="154" totalsRowDxfId="137"/>
    <tableColumn id="8" xr3:uid="{536E66D6-8947-4E39-889D-44E10B04C5CF}" uniqueName="8" name="Balance" totalsRowFunction="custom" queryTableFieldId="8" dataDxfId="155" totalsRowDxfId="136">
      <totalsRowFormula>SUM(Customer_Data318[Balance])</totalsRowFormula>
    </tableColumn>
    <tableColumn id="9" xr3:uid="{19D3396C-A829-4A39-8CCD-AE6D63AE9F0A}" uniqueName="9" name="DOB" queryTableFieldId="9" dataDxfId="156" totalsRowDxfId="135"/>
  </tableColumns>
  <tableStyleInfo name="TableStyleMedium5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FB401CF8-C530-4DA1-BDF4-DF686B865D9B}" name="Customer_Data319" displayName="Customer_Data319" ref="A1:I12" tableType="queryTable" totalsRowCount="1" headerRowDxfId="4" dataDxfId="145" totalsRowDxfId="146" headerRowCellStyle="60% - Accent1">
  <autoFilter ref="A1:I11" xr:uid="{FB401CF8-C530-4DA1-BDF4-DF686B865D9B}"/>
  <sortState xmlns:xlrd2="http://schemas.microsoft.com/office/spreadsheetml/2017/richdata2" ref="A2:I11">
    <sortCondition sortBy="cellColor" ref="C1:C11" dxfId="0"/>
  </sortState>
  <tableColumns count="9">
    <tableColumn id="1" xr3:uid="{84B5421D-C3B6-4122-B088-75CDD82DEC40}" uniqueName="1" name="Customer Number" queryTableFieldId="1" dataDxfId="153" totalsRowDxfId="134"/>
    <tableColumn id="2" xr3:uid="{15123050-0AE8-4C03-A8D7-42F5903DD708}" uniqueName="2" name="Last Name" queryTableFieldId="2" dataDxfId="152" totalsRowDxfId="133"/>
    <tableColumn id="3" xr3:uid="{31FAE82D-8419-4B9F-88FC-0D8B8AE57977}" uniqueName="3" name="First Name" queryTableFieldId="3" dataDxfId="151" totalsRowDxfId="132"/>
    <tableColumn id="4" xr3:uid="{B54CD163-85F7-4864-892D-495F90E7C17B}" uniqueName="4" name="Street" queryTableFieldId="4" dataDxfId="150" totalsRowDxfId="131"/>
    <tableColumn id="5" xr3:uid="{E71ED77D-E21A-4D3A-89E8-0093420FFCBC}" uniqueName="5" name="City" queryTableFieldId="5" dataDxfId="149" totalsRowDxfId="130"/>
    <tableColumn id="6" xr3:uid="{8E3C55A6-9002-48C5-A186-909E2623CB87}" uniqueName="6" name="Phone" queryTableFieldId="6" dataDxfId="148" totalsRowDxfId="129"/>
    <tableColumn id="7" xr3:uid="{D1EEA2FD-B172-40DD-9A69-AE212AA9CA54}" uniqueName="7" name="Credit Limit" queryTableFieldId="7" dataDxfId="147" totalsRowDxfId="128"/>
    <tableColumn id="8" xr3:uid="{33F60DD2-F8B7-4BF6-B0F4-D872DB3C1909}" uniqueName="8" name="Balance" totalsRowFunction="custom" queryTableFieldId="8" dataDxfId="95" totalsRowDxfId="127">
      <totalsRowFormula>SUM(Customer_Data319[Balance])</totalsRowFormula>
    </tableColumn>
    <tableColumn id="9" xr3:uid="{6052A3E2-9CC8-4E73-A747-A6DBCFF95F45}" uniqueName="9" name="DOB" queryTableFieldId="9" dataDxfId="94" totalsRowDxfId="126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D799B-73C7-4A26-AA27-7AB2284001F4}">
  <sheetPr>
    <tabColor rgb="FFFF0000"/>
  </sheetPr>
  <dimension ref="A1:I11"/>
  <sheetViews>
    <sheetView workbookViewId="0">
      <selection activeCell="C17" sqref="C17"/>
    </sheetView>
  </sheetViews>
  <sheetFormatPr defaultRowHeight="14.4" x14ac:dyDescent="0.3"/>
  <cols>
    <col min="1" max="1" width="18.5546875" bestFit="1" customWidth="1"/>
    <col min="2" max="2" width="12" bestFit="1" customWidth="1"/>
    <col min="3" max="3" width="12.33203125" bestFit="1" customWidth="1"/>
    <col min="4" max="4" width="15.33203125" bestFit="1" customWidth="1"/>
    <col min="6" max="6" width="8.6640625" bestFit="1" customWidth="1"/>
    <col min="7" max="7" width="13.109375" bestFit="1" customWidth="1"/>
    <col min="8" max="8" width="9.88671875" bestFit="1" customWidth="1"/>
    <col min="9" max="9" width="6.8867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>
        <v>9906</v>
      </c>
      <c r="H2">
        <v>45</v>
      </c>
      <c r="I2">
        <v>32874</v>
      </c>
    </row>
    <row r="3" spans="1:9" x14ac:dyDescent="0.3"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>
        <v>4596</v>
      </c>
      <c r="H3">
        <v>8000</v>
      </c>
      <c r="I3">
        <v>33239</v>
      </c>
    </row>
    <row r="4" spans="1:9" x14ac:dyDescent="0.3">
      <c r="B4" s="1" t="s">
        <v>19</v>
      </c>
      <c r="C4" s="1" t="s">
        <v>20</v>
      </c>
      <c r="D4" s="1" t="s">
        <v>21</v>
      </c>
      <c r="E4" s="1" t="s">
        <v>12</v>
      </c>
      <c r="F4" s="1" t="s">
        <v>22</v>
      </c>
      <c r="G4">
        <v>3128</v>
      </c>
      <c r="H4">
        <v>200</v>
      </c>
      <c r="I4">
        <v>33604</v>
      </c>
    </row>
    <row r="5" spans="1:9" x14ac:dyDescent="0.3">
      <c r="B5" s="1" t="s">
        <v>23</v>
      </c>
      <c r="C5" s="1" t="s">
        <v>24</v>
      </c>
      <c r="D5" s="1" t="s">
        <v>25</v>
      </c>
      <c r="E5" s="1" t="s">
        <v>26</v>
      </c>
      <c r="F5" s="1" t="s">
        <v>27</v>
      </c>
      <c r="G5">
        <v>4163</v>
      </c>
      <c r="H5">
        <v>2323232</v>
      </c>
      <c r="I5">
        <v>33970</v>
      </c>
    </row>
    <row r="6" spans="1:9" x14ac:dyDescent="0.3">
      <c r="B6" s="1" t="s">
        <v>28</v>
      </c>
      <c r="C6" s="1" t="s">
        <v>29</v>
      </c>
      <c r="D6" s="1" t="s">
        <v>30</v>
      </c>
      <c r="E6" s="1" t="s">
        <v>17</v>
      </c>
      <c r="F6" s="1" t="s">
        <v>31</v>
      </c>
      <c r="G6">
        <v>5903</v>
      </c>
      <c r="H6">
        <v>222</v>
      </c>
      <c r="I6">
        <v>34335</v>
      </c>
    </row>
    <row r="7" spans="1:9" x14ac:dyDescent="0.3">
      <c r="B7" s="1" t="s">
        <v>32</v>
      </c>
      <c r="C7" s="1" t="s">
        <v>33</v>
      </c>
      <c r="D7" s="1" t="s">
        <v>34</v>
      </c>
      <c r="E7" s="1" t="s">
        <v>12</v>
      </c>
      <c r="F7" s="1" t="s">
        <v>35</v>
      </c>
      <c r="G7">
        <v>2112</v>
      </c>
      <c r="H7">
        <v>60</v>
      </c>
      <c r="I7">
        <v>34700</v>
      </c>
    </row>
    <row r="8" spans="1:9" x14ac:dyDescent="0.3">
      <c r="B8" s="1" t="s">
        <v>36</v>
      </c>
      <c r="C8" s="1" t="s">
        <v>37</v>
      </c>
      <c r="D8" s="1" t="s">
        <v>38</v>
      </c>
      <c r="E8" s="1" t="s">
        <v>17</v>
      </c>
      <c r="F8" s="1" t="s">
        <v>39</v>
      </c>
      <c r="G8">
        <v>7222</v>
      </c>
      <c r="H8">
        <v>23456</v>
      </c>
      <c r="I8">
        <v>35065</v>
      </c>
    </row>
    <row r="9" spans="1:9" x14ac:dyDescent="0.3">
      <c r="B9" s="1" t="s">
        <v>40</v>
      </c>
      <c r="C9" s="1" t="s">
        <v>41</v>
      </c>
      <c r="D9" s="1" t="s">
        <v>42</v>
      </c>
      <c r="E9" s="1" t="s">
        <v>26</v>
      </c>
      <c r="F9" s="1" t="s">
        <v>43</v>
      </c>
      <c r="G9">
        <v>5640</v>
      </c>
      <c r="H9">
        <v>95</v>
      </c>
      <c r="I9">
        <v>35431</v>
      </c>
    </row>
    <row r="10" spans="1:9" x14ac:dyDescent="0.3">
      <c r="B10" s="1" t="s">
        <v>44</v>
      </c>
      <c r="C10" s="1" t="s">
        <v>45</v>
      </c>
      <c r="D10" s="1" t="s">
        <v>46</v>
      </c>
      <c r="E10" s="1" t="s">
        <v>17</v>
      </c>
      <c r="F10" s="1" t="s">
        <v>47</v>
      </c>
      <c r="G10">
        <v>9747</v>
      </c>
      <c r="H10">
        <v>0</v>
      </c>
      <c r="I10">
        <v>35796</v>
      </c>
    </row>
    <row r="11" spans="1:9" x14ac:dyDescent="0.3">
      <c r="B11" s="1" t="s">
        <v>48</v>
      </c>
      <c r="C11" s="1" t="s">
        <v>49</v>
      </c>
      <c r="D11" s="1" t="s">
        <v>50</v>
      </c>
      <c r="E11" s="1" t="s">
        <v>26</v>
      </c>
      <c r="F11" s="1" t="s">
        <v>51</v>
      </c>
      <c r="G11">
        <v>455</v>
      </c>
      <c r="H11">
        <v>40</v>
      </c>
      <c r="I11">
        <v>36161</v>
      </c>
    </row>
  </sheetData>
  <sheetProtection algorithmName="SHA-512" hashValue="UZFFcFWoXkY4OnBgp2DjBPIdzo3GI+G+D8qVRcb/ZPaaWjGyDBnPv20rir37MDVSO6BUdsu+94HORtH/hJ/8Cw==" saltValue="D2+HvV2JslX8QeKTBeSKgw==" spinCount="100000" sheet="1" objects="1" scenarios="1" selectLockedCells="1" selectUnlockedCells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DD553-2478-47C5-BD16-CF8957B94428}">
  <sheetPr>
    <tabColor rgb="FFFF0000"/>
  </sheetPr>
  <dimension ref="A1:I11"/>
  <sheetViews>
    <sheetView workbookViewId="0">
      <selection activeCell="A30" sqref="A30"/>
    </sheetView>
  </sheetViews>
  <sheetFormatPr defaultRowHeight="14.4" x14ac:dyDescent="0.3"/>
  <cols>
    <col min="1" max="1" width="18.5546875" bestFit="1" customWidth="1"/>
    <col min="2" max="2" width="12" bestFit="1" customWidth="1"/>
    <col min="3" max="3" width="12.33203125" bestFit="1" customWidth="1"/>
    <col min="4" max="4" width="15.33203125" bestFit="1" customWidth="1"/>
    <col min="6" max="6" width="8.6640625" bestFit="1" customWidth="1"/>
    <col min="7" max="7" width="13.109375" bestFit="1" customWidth="1"/>
    <col min="8" max="8" width="9.88671875" bestFit="1" customWidth="1"/>
    <col min="9" max="9" width="6.8867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>
        <v>9906</v>
      </c>
      <c r="H2">
        <v>45</v>
      </c>
      <c r="I2">
        <v>32874</v>
      </c>
    </row>
    <row r="3" spans="1:9" x14ac:dyDescent="0.3"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>
        <v>4596</v>
      </c>
      <c r="H3">
        <v>8000</v>
      </c>
      <c r="I3">
        <v>33239</v>
      </c>
    </row>
    <row r="4" spans="1:9" x14ac:dyDescent="0.3">
      <c r="B4" s="1" t="s">
        <v>19</v>
      </c>
      <c r="C4" s="1" t="s">
        <v>20</v>
      </c>
      <c r="D4" s="1" t="s">
        <v>21</v>
      </c>
      <c r="E4" s="1" t="s">
        <v>12</v>
      </c>
      <c r="F4" s="1" t="s">
        <v>22</v>
      </c>
      <c r="G4">
        <v>3128</v>
      </c>
      <c r="H4">
        <v>200</v>
      </c>
      <c r="I4">
        <v>33604</v>
      </c>
    </row>
    <row r="5" spans="1:9" x14ac:dyDescent="0.3">
      <c r="B5" s="1" t="s">
        <v>23</v>
      </c>
      <c r="C5" s="1" t="s">
        <v>24</v>
      </c>
      <c r="D5" s="1" t="s">
        <v>25</v>
      </c>
      <c r="E5" s="1" t="s">
        <v>26</v>
      </c>
      <c r="F5" s="1" t="s">
        <v>27</v>
      </c>
      <c r="G5">
        <v>4163</v>
      </c>
      <c r="H5">
        <v>2323232</v>
      </c>
      <c r="I5">
        <v>33970</v>
      </c>
    </row>
    <row r="6" spans="1:9" x14ac:dyDescent="0.3">
      <c r="B6" s="1" t="s">
        <v>28</v>
      </c>
      <c r="C6" s="1" t="s">
        <v>29</v>
      </c>
      <c r="D6" s="1" t="s">
        <v>30</v>
      </c>
      <c r="E6" s="1" t="s">
        <v>17</v>
      </c>
      <c r="F6" s="1" t="s">
        <v>31</v>
      </c>
      <c r="G6">
        <v>5903</v>
      </c>
      <c r="H6">
        <v>222</v>
      </c>
      <c r="I6">
        <v>34335</v>
      </c>
    </row>
    <row r="7" spans="1:9" x14ac:dyDescent="0.3">
      <c r="B7" s="1" t="s">
        <v>32</v>
      </c>
      <c r="C7" s="1" t="s">
        <v>33</v>
      </c>
      <c r="D7" s="1" t="s">
        <v>34</v>
      </c>
      <c r="E7" s="1" t="s">
        <v>12</v>
      </c>
      <c r="F7" s="1" t="s">
        <v>35</v>
      </c>
      <c r="G7">
        <v>2112</v>
      </c>
      <c r="H7">
        <v>60</v>
      </c>
      <c r="I7">
        <v>34700</v>
      </c>
    </row>
    <row r="8" spans="1:9" x14ac:dyDescent="0.3">
      <c r="B8" s="1" t="s">
        <v>36</v>
      </c>
      <c r="C8" s="1" t="s">
        <v>37</v>
      </c>
      <c r="D8" s="1" t="s">
        <v>38</v>
      </c>
      <c r="E8" s="1" t="s">
        <v>17</v>
      </c>
      <c r="F8" s="1" t="s">
        <v>39</v>
      </c>
      <c r="G8">
        <v>7222</v>
      </c>
      <c r="H8">
        <v>23456</v>
      </c>
      <c r="I8">
        <v>35065</v>
      </c>
    </row>
    <row r="9" spans="1:9" x14ac:dyDescent="0.3">
      <c r="B9" s="1" t="s">
        <v>40</v>
      </c>
      <c r="C9" s="1" t="s">
        <v>41</v>
      </c>
      <c r="D9" s="1" t="s">
        <v>42</v>
      </c>
      <c r="E9" s="1" t="s">
        <v>26</v>
      </c>
      <c r="F9" s="1" t="s">
        <v>43</v>
      </c>
      <c r="G9">
        <v>5640</v>
      </c>
      <c r="H9">
        <v>95</v>
      </c>
      <c r="I9">
        <v>35431</v>
      </c>
    </row>
    <row r="10" spans="1:9" x14ac:dyDescent="0.3">
      <c r="B10" s="1" t="s">
        <v>44</v>
      </c>
      <c r="C10" s="1" t="s">
        <v>45</v>
      </c>
      <c r="D10" s="1" t="s">
        <v>46</v>
      </c>
      <c r="E10" s="1" t="s">
        <v>17</v>
      </c>
      <c r="F10" s="1" t="s">
        <v>47</v>
      </c>
      <c r="G10">
        <v>9747</v>
      </c>
      <c r="H10">
        <v>0</v>
      </c>
      <c r="I10">
        <v>35796</v>
      </c>
    </row>
    <row r="11" spans="1:9" x14ac:dyDescent="0.3">
      <c r="B11" s="1" t="s">
        <v>48</v>
      </c>
      <c r="C11" s="1" t="s">
        <v>49</v>
      </c>
      <c r="D11" s="1" t="s">
        <v>50</v>
      </c>
      <c r="E11" s="1" t="s">
        <v>26</v>
      </c>
      <c r="F11" s="1" t="s">
        <v>51</v>
      </c>
      <c r="G11">
        <v>455</v>
      </c>
      <c r="H11">
        <v>40</v>
      </c>
      <c r="I11">
        <v>36161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9838D-0189-472E-B288-74EE27F061CA}">
  <sheetPr>
    <tabColor rgb="FFFFC000"/>
  </sheetPr>
  <dimension ref="A1:I11"/>
  <sheetViews>
    <sheetView workbookViewId="0">
      <selection activeCell="D22" sqref="D22"/>
    </sheetView>
  </sheetViews>
  <sheetFormatPr defaultRowHeight="14.4" x14ac:dyDescent="0.3"/>
  <cols>
    <col min="1" max="1" width="24.5546875" bestFit="1" customWidth="1"/>
    <col min="2" max="2" width="16.109375" bestFit="1" customWidth="1"/>
    <col min="3" max="3" width="16.44140625" bestFit="1" customWidth="1"/>
    <col min="4" max="4" width="15.5546875" bestFit="1" customWidth="1"/>
    <col min="5" max="5" width="9.33203125" bestFit="1" customWidth="1"/>
    <col min="6" max="6" width="12" bestFit="1" customWidth="1"/>
    <col min="7" max="7" width="17.21875" bestFit="1" customWidth="1"/>
    <col min="8" max="8" width="13.33203125" bestFit="1" customWidth="1"/>
    <col min="9" max="9" width="10" bestFit="1" customWidth="1"/>
  </cols>
  <sheetData>
    <row r="1" spans="1:9" ht="18" thickBot="1" x14ac:dyDescent="0.3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</row>
    <row r="2" spans="1:9" ht="15" thickTop="1" x14ac:dyDescent="0.3">
      <c r="A2" s="9">
        <v>100</v>
      </c>
      <c r="B2" s="10" t="s">
        <v>9</v>
      </c>
      <c r="C2" s="10" t="s">
        <v>10</v>
      </c>
      <c r="D2" s="10" t="s">
        <v>11</v>
      </c>
      <c r="E2" s="10" t="s">
        <v>12</v>
      </c>
      <c r="F2" s="10" t="s">
        <v>13</v>
      </c>
      <c r="G2" s="9">
        <v>9906</v>
      </c>
      <c r="H2" s="9">
        <v>45</v>
      </c>
      <c r="I2" s="9">
        <v>32874</v>
      </c>
    </row>
    <row r="3" spans="1:9" x14ac:dyDescent="0.3">
      <c r="A3" s="9">
        <v>104</v>
      </c>
      <c r="B3" s="10" t="s">
        <v>14</v>
      </c>
      <c r="C3" s="10" t="s">
        <v>15</v>
      </c>
      <c r="D3" s="10" t="s">
        <v>16</v>
      </c>
      <c r="E3" s="10" t="s">
        <v>17</v>
      </c>
      <c r="F3" s="10" t="s">
        <v>18</v>
      </c>
      <c r="G3" s="9">
        <v>4596</v>
      </c>
      <c r="H3" s="9">
        <v>8000</v>
      </c>
      <c r="I3" s="9">
        <v>33239</v>
      </c>
    </row>
    <row r="4" spans="1:9" x14ac:dyDescent="0.3">
      <c r="A4" s="9">
        <v>108</v>
      </c>
      <c r="B4" s="10" t="s">
        <v>19</v>
      </c>
      <c r="C4" s="10" t="s">
        <v>20</v>
      </c>
      <c r="D4" s="10" t="s">
        <v>21</v>
      </c>
      <c r="E4" s="10" t="s">
        <v>12</v>
      </c>
      <c r="F4" s="10" t="s">
        <v>22</v>
      </c>
      <c r="G4" s="9">
        <v>3128</v>
      </c>
      <c r="H4" s="9">
        <v>200</v>
      </c>
      <c r="I4" s="9">
        <v>33604</v>
      </c>
    </row>
    <row r="5" spans="1:9" x14ac:dyDescent="0.3">
      <c r="A5" s="9">
        <v>112</v>
      </c>
      <c r="B5" s="10" t="s">
        <v>23</v>
      </c>
      <c r="C5" s="10" t="s">
        <v>24</v>
      </c>
      <c r="D5" s="10" t="s">
        <v>25</v>
      </c>
      <c r="E5" s="10" t="s">
        <v>26</v>
      </c>
      <c r="F5" s="10" t="s">
        <v>27</v>
      </c>
      <c r="G5" s="9">
        <v>4163</v>
      </c>
      <c r="H5" s="9">
        <v>2323232</v>
      </c>
      <c r="I5" s="9">
        <v>33970</v>
      </c>
    </row>
    <row r="6" spans="1:9" x14ac:dyDescent="0.3">
      <c r="A6" s="9">
        <v>116</v>
      </c>
      <c r="B6" s="10" t="s">
        <v>28</v>
      </c>
      <c r="C6" s="10" t="s">
        <v>29</v>
      </c>
      <c r="D6" s="10" t="s">
        <v>30</v>
      </c>
      <c r="E6" s="10" t="s">
        <v>17</v>
      </c>
      <c r="F6" s="10" t="s">
        <v>31</v>
      </c>
      <c r="G6" s="9">
        <v>5903</v>
      </c>
      <c r="H6" s="9">
        <v>222</v>
      </c>
      <c r="I6" s="9">
        <v>34335</v>
      </c>
    </row>
    <row r="7" spans="1:9" x14ac:dyDescent="0.3">
      <c r="A7" s="9">
        <v>120</v>
      </c>
      <c r="B7" s="10" t="s">
        <v>32</v>
      </c>
      <c r="C7" s="10" t="s">
        <v>33</v>
      </c>
      <c r="D7" s="10" t="s">
        <v>34</v>
      </c>
      <c r="E7" s="10" t="s">
        <v>12</v>
      </c>
      <c r="F7" s="10" t="s">
        <v>35</v>
      </c>
      <c r="G7" s="9">
        <v>2112</v>
      </c>
      <c r="H7" s="9">
        <v>60</v>
      </c>
      <c r="I7" s="9">
        <v>34700</v>
      </c>
    </row>
    <row r="8" spans="1:9" x14ac:dyDescent="0.3">
      <c r="A8" s="9">
        <v>124</v>
      </c>
      <c r="B8" s="10" t="s">
        <v>36</v>
      </c>
      <c r="C8" s="10" t="s">
        <v>37</v>
      </c>
      <c r="D8" s="10" t="s">
        <v>38</v>
      </c>
      <c r="E8" s="10" t="s">
        <v>17</v>
      </c>
      <c r="F8" s="10" t="s">
        <v>39</v>
      </c>
      <c r="G8" s="9">
        <v>7222</v>
      </c>
      <c r="H8" s="9">
        <v>23456</v>
      </c>
      <c r="I8" s="9">
        <v>35065</v>
      </c>
    </row>
    <row r="9" spans="1:9" x14ac:dyDescent="0.3">
      <c r="A9" s="9">
        <v>128</v>
      </c>
      <c r="B9" s="10" t="s">
        <v>40</v>
      </c>
      <c r="C9" s="10" t="s">
        <v>41</v>
      </c>
      <c r="D9" s="10" t="s">
        <v>42</v>
      </c>
      <c r="E9" s="10" t="s">
        <v>26</v>
      </c>
      <c r="F9" s="10" t="s">
        <v>43</v>
      </c>
      <c r="G9" s="9">
        <v>5640</v>
      </c>
      <c r="H9" s="9">
        <v>95</v>
      </c>
      <c r="I9" s="9">
        <v>35431</v>
      </c>
    </row>
    <row r="10" spans="1:9" x14ac:dyDescent="0.3">
      <c r="A10" s="9">
        <v>132</v>
      </c>
      <c r="B10" s="10" t="s">
        <v>44</v>
      </c>
      <c r="C10" s="10" t="s">
        <v>45</v>
      </c>
      <c r="D10" s="10" t="s">
        <v>46</v>
      </c>
      <c r="E10" s="10" t="s">
        <v>17</v>
      </c>
      <c r="F10" s="10" t="s">
        <v>47</v>
      </c>
      <c r="G10" s="9">
        <v>9747</v>
      </c>
      <c r="H10" s="9">
        <v>0</v>
      </c>
      <c r="I10" s="9">
        <v>35796</v>
      </c>
    </row>
    <row r="11" spans="1:9" x14ac:dyDescent="0.3">
      <c r="A11" s="9">
        <v>136</v>
      </c>
      <c r="B11" s="10" t="s">
        <v>48</v>
      </c>
      <c r="C11" s="10" t="s">
        <v>49</v>
      </c>
      <c r="D11" s="10" t="s">
        <v>50</v>
      </c>
      <c r="E11" s="10" t="s">
        <v>26</v>
      </c>
      <c r="F11" s="10" t="s">
        <v>51</v>
      </c>
      <c r="G11" s="9">
        <v>455</v>
      </c>
      <c r="H11" s="9">
        <v>40</v>
      </c>
      <c r="I11" s="9">
        <v>36161</v>
      </c>
    </row>
  </sheetData>
  <sheetProtection algorithmName="SHA-512" hashValue="KH3gr6oE5TOQ7nNsRZKOfpW0OCsHiY3x4QemxTy5gXYsbSkF9p10gGjkfGWRVs+eCetoCie8+14iBn0TOSR8fw==" saltValue="xRmGgRy2gE05ymUT2k56vw==" spinCount="100000" sheet="1" objects="1" scenarios="1" selectLockedCells="1" selectUnlockedCells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85EEA-CED4-45D7-9C4F-C80685B69882}">
  <sheetPr>
    <tabColor rgb="FFFFFF00"/>
  </sheetPr>
  <dimension ref="A1:I11"/>
  <sheetViews>
    <sheetView workbookViewId="0"/>
  </sheetViews>
  <sheetFormatPr defaultRowHeight="14.4" x14ac:dyDescent="0.3"/>
  <cols>
    <col min="1" max="1" width="24.33203125" bestFit="1" customWidth="1"/>
    <col min="2" max="2" width="16.109375" bestFit="1" customWidth="1"/>
    <col min="3" max="3" width="16.44140625" bestFit="1" customWidth="1"/>
    <col min="4" max="4" width="15.33203125" bestFit="1" customWidth="1"/>
    <col min="5" max="5" width="9.5546875" bestFit="1" customWidth="1"/>
    <col min="6" max="6" width="11.88671875" bestFit="1" customWidth="1"/>
    <col min="7" max="7" width="17.5546875" bestFit="1" customWidth="1"/>
    <col min="8" max="8" width="13.6640625" bestFit="1" customWidth="1"/>
    <col min="9" max="9" width="9.88671875" style="2" bestFit="1" customWidth="1"/>
  </cols>
  <sheetData>
    <row r="1" spans="1:9" ht="18" thickBot="1" x14ac:dyDescent="0.3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23" t="s">
        <v>8</v>
      </c>
    </row>
    <row r="2" spans="1:9" ht="15" thickTop="1" x14ac:dyDescent="0.3">
      <c r="A2" s="9">
        <v>100</v>
      </c>
      <c r="B2" s="10" t="s">
        <v>9</v>
      </c>
      <c r="C2" s="10" t="s">
        <v>10</v>
      </c>
      <c r="D2" s="10" t="s">
        <v>11</v>
      </c>
      <c r="E2" s="10" t="s">
        <v>12</v>
      </c>
      <c r="F2" s="10" t="s">
        <v>13</v>
      </c>
      <c r="G2" s="9">
        <v>9906</v>
      </c>
      <c r="H2" s="9">
        <v>45</v>
      </c>
      <c r="I2" s="15">
        <v>32874</v>
      </c>
    </row>
    <row r="3" spans="1:9" x14ac:dyDescent="0.3">
      <c r="A3" s="9">
        <v>104</v>
      </c>
      <c r="B3" s="10" t="s">
        <v>14</v>
      </c>
      <c r="C3" s="10" t="s">
        <v>15</v>
      </c>
      <c r="D3" s="10" t="s">
        <v>16</v>
      </c>
      <c r="E3" s="10" t="s">
        <v>17</v>
      </c>
      <c r="F3" s="10" t="s">
        <v>18</v>
      </c>
      <c r="G3" s="9">
        <v>4596</v>
      </c>
      <c r="H3" s="9">
        <v>8000</v>
      </c>
      <c r="I3" s="15">
        <v>33239</v>
      </c>
    </row>
    <row r="4" spans="1:9" x14ac:dyDescent="0.3">
      <c r="A4" s="9">
        <v>108</v>
      </c>
      <c r="B4" s="10" t="s">
        <v>19</v>
      </c>
      <c r="C4" s="10" t="s">
        <v>20</v>
      </c>
      <c r="D4" s="10" t="s">
        <v>21</v>
      </c>
      <c r="E4" s="10" t="s">
        <v>12</v>
      </c>
      <c r="F4" s="10" t="s">
        <v>22</v>
      </c>
      <c r="G4" s="9">
        <v>3128</v>
      </c>
      <c r="H4" s="9">
        <v>200</v>
      </c>
      <c r="I4" s="15">
        <v>33604</v>
      </c>
    </row>
    <row r="5" spans="1:9" x14ac:dyDescent="0.3">
      <c r="A5" s="9">
        <v>112</v>
      </c>
      <c r="B5" s="10" t="s">
        <v>23</v>
      </c>
      <c r="C5" s="10" t="s">
        <v>24</v>
      </c>
      <c r="D5" s="10" t="s">
        <v>25</v>
      </c>
      <c r="E5" s="10" t="s">
        <v>26</v>
      </c>
      <c r="F5" s="10" t="s">
        <v>27</v>
      </c>
      <c r="G5" s="9">
        <v>4163</v>
      </c>
      <c r="H5" s="9">
        <v>2323232</v>
      </c>
      <c r="I5" s="15">
        <v>33970</v>
      </c>
    </row>
    <row r="6" spans="1:9" x14ac:dyDescent="0.3">
      <c r="A6" s="9">
        <v>116</v>
      </c>
      <c r="B6" s="10" t="s">
        <v>28</v>
      </c>
      <c r="C6" s="10" t="s">
        <v>29</v>
      </c>
      <c r="D6" s="10" t="s">
        <v>30</v>
      </c>
      <c r="E6" s="10" t="s">
        <v>17</v>
      </c>
      <c r="F6" s="10" t="s">
        <v>31</v>
      </c>
      <c r="G6" s="9">
        <v>5903</v>
      </c>
      <c r="H6" s="9">
        <v>222</v>
      </c>
      <c r="I6" s="15">
        <v>34335</v>
      </c>
    </row>
    <row r="7" spans="1:9" x14ac:dyDescent="0.3">
      <c r="A7" s="9">
        <v>120</v>
      </c>
      <c r="B7" s="10" t="s">
        <v>32</v>
      </c>
      <c r="C7" s="10" t="s">
        <v>33</v>
      </c>
      <c r="D7" s="10" t="s">
        <v>34</v>
      </c>
      <c r="E7" s="10" t="s">
        <v>12</v>
      </c>
      <c r="F7" s="10" t="s">
        <v>35</v>
      </c>
      <c r="G7" s="9">
        <v>2112</v>
      </c>
      <c r="H7" s="9">
        <v>60</v>
      </c>
      <c r="I7" s="15">
        <v>34700</v>
      </c>
    </row>
    <row r="8" spans="1:9" x14ac:dyDescent="0.3">
      <c r="A8" s="9">
        <v>124</v>
      </c>
      <c r="B8" s="10" t="s">
        <v>36</v>
      </c>
      <c r="C8" s="10" t="s">
        <v>37</v>
      </c>
      <c r="D8" s="10" t="s">
        <v>38</v>
      </c>
      <c r="E8" s="10" t="s">
        <v>17</v>
      </c>
      <c r="F8" s="10" t="s">
        <v>39</v>
      </c>
      <c r="G8" s="9">
        <v>7222</v>
      </c>
      <c r="H8" s="9">
        <v>23456</v>
      </c>
      <c r="I8" s="15">
        <v>35065</v>
      </c>
    </row>
    <row r="9" spans="1:9" x14ac:dyDescent="0.3">
      <c r="A9" s="9">
        <v>128</v>
      </c>
      <c r="B9" s="10" t="s">
        <v>40</v>
      </c>
      <c r="C9" s="10" t="s">
        <v>41</v>
      </c>
      <c r="D9" s="10" t="s">
        <v>42</v>
      </c>
      <c r="E9" s="10" t="s">
        <v>26</v>
      </c>
      <c r="F9" s="10" t="s">
        <v>43</v>
      </c>
      <c r="G9" s="9">
        <v>5640</v>
      </c>
      <c r="H9" s="9">
        <v>95</v>
      </c>
      <c r="I9" s="15">
        <v>35431</v>
      </c>
    </row>
    <row r="10" spans="1:9" x14ac:dyDescent="0.3">
      <c r="A10" s="9">
        <v>132</v>
      </c>
      <c r="B10" s="10" t="s">
        <v>44</v>
      </c>
      <c r="C10" s="10" t="s">
        <v>45</v>
      </c>
      <c r="D10" s="10" t="s">
        <v>46</v>
      </c>
      <c r="E10" s="10" t="s">
        <v>17</v>
      </c>
      <c r="F10" s="10" t="s">
        <v>47</v>
      </c>
      <c r="G10" s="9">
        <v>9747</v>
      </c>
      <c r="H10" s="9">
        <v>0</v>
      </c>
      <c r="I10" s="15">
        <v>35796</v>
      </c>
    </row>
    <row r="11" spans="1:9" x14ac:dyDescent="0.3">
      <c r="A11" s="9">
        <v>136</v>
      </c>
      <c r="B11" s="10" t="s">
        <v>48</v>
      </c>
      <c r="C11" s="10" t="s">
        <v>49</v>
      </c>
      <c r="D11" s="10" t="s">
        <v>50</v>
      </c>
      <c r="E11" s="10" t="s">
        <v>26</v>
      </c>
      <c r="F11" s="10" t="s">
        <v>51</v>
      </c>
      <c r="G11" s="9">
        <v>455</v>
      </c>
      <c r="H11" s="9">
        <v>40</v>
      </c>
      <c r="I11" s="15">
        <v>36161</v>
      </c>
    </row>
  </sheetData>
  <sheetProtection algorithmName="SHA-512" hashValue="jY2oPixquJm6We00bdgH6NeVWm0KxhW3kgGyt1YeRJgyBMw3JtKHGrXFq/T0+YuJ9nSHpJpQtxaAfOrHRHOKgQ==" saltValue="3qRBNfkGwzTgzmc6mwGfhA==" spinCount="100000" sheet="1" objects="1" scenarios="1" selectLockedCells="1" selectUnlockedCells="1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E28D8-FE52-4C88-B3AD-883E443D9EC5}">
  <sheetPr>
    <tabColor rgb="FF92D050"/>
  </sheetPr>
  <dimension ref="A1:I11"/>
  <sheetViews>
    <sheetView workbookViewId="0">
      <selection activeCell="F1" sqref="F1"/>
    </sheetView>
  </sheetViews>
  <sheetFormatPr defaultRowHeight="14.4" x14ac:dyDescent="0.3"/>
  <cols>
    <col min="1" max="1" width="24.33203125" bestFit="1" customWidth="1"/>
    <col min="2" max="2" width="16.109375" bestFit="1" customWidth="1"/>
    <col min="3" max="3" width="16.44140625" bestFit="1" customWidth="1"/>
    <col min="4" max="4" width="15.33203125" bestFit="1" customWidth="1"/>
    <col min="5" max="5" width="9.5546875" bestFit="1" customWidth="1"/>
    <col min="6" max="6" width="11.88671875" bestFit="1" customWidth="1"/>
    <col min="7" max="7" width="17.5546875" bestFit="1" customWidth="1"/>
    <col min="8" max="8" width="13.6640625" style="3" bestFit="1" customWidth="1"/>
    <col min="9" max="9" width="9.88671875" style="2" bestFit="1" customWidth="1"/>
  </cols>
  <sheetData>
    <row r="1" spans="1:9" ht="18" thickBo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7" t="s">
        <v>7</v>
      </c>
      <c r="I1" s="8" t="s">
        <v>8</v>
      </c>
    </row>
    <row r="2" spans="1:9" ht="15" thickTop="1" x14ac:dyDescent="0.3">
      <c r="A2" s="9">
        <v>100</v>
      </c>
      <c r="B2" s="10" t="s">
        <v>9</v>
      </c>
      <c r="C2" s="10" t="s">
        <v>10</v>
      </c>
      <c r="D2" s="10" t="s">
        <v>11</v>
      </c>
      <c r="E2" s="10" t="s">
        <v>12</v>
      </c>
      <c r="F2" s="10" t="s">
        <v>13</v>
      </c>
      <c r="G2" s="9">
        <v>9906</v>
      </c>
      <c r="H2" s="12">
        <v>45</v>
      </c>
      <c r="I2" s="15">
        <v>32874</v>
      </c>
    </row>
    <row r="3" spans="1:9" x14ac:dyDescent="0.3">
      <c r="A3" s="9">
        <v>104</v>
      </c>
      <c r="B3" s="10" t="s">
        <v>14</v>
      </c>
      <c r="C3" s="10" t="s">
        <v>15</v>
      </c>
      <c r="D3" s="10" t="s">
        <v>16</v>
      </c>
      <c r="E3" s="10" t="s">
        <v>17</v>
      </c>
      <c r="F3" s="10" t="s">
        <v>18</v>
      </c>
      <c r="G3" s="9">
        <v>4596</v>
      </c>
      <c r="H3" s="12">
        <v>8000</v>
      </c>
      <c r="I3" s="15">
        <v>33239</v>
      </c>
    </row>
    <row r="4" spans="1:9" x14ac:dyDescent="0.3">
      <c r="A4" s="9">
        <v>108</v>
      </c>
      <c r="B4" s="10" t="s">
        <v>19</v>
      </c>
      <c r="C4" s="10" t="s">
        <v>20</v>
      </c>
      <c r="D4" s="10" t="s">
        <v>21</v>
      </c>
      <c r="E4" s="10" t="s">
        <v>12</v>
      </c>
      <c r="F4" s="10" t="s">
        <v>22</v>
      </c>
      <c r="G4" s="9">
        <v>3128</v>
      </c>
      <c r="H4" s="12">
        <v>200</v>
      </c>
      <c r="I4" s="15">
        <v>33604</v>
      </c>
    </row>
    <row r="5" spans="1:9" x14ac:dyDescent="0.3">
      <c r="A5" s="9">
        <v>112</v>
      </c>
      <c r="B5" s="10" t="s">
        <v>23</v>
      </c>
      <c r="C5" s="10" t="s">
        <v>24</v>
      </c>
      <c r="D5" s="10" t="s">
        <v>25</v>
      </c>
      <c r="E5" s="10" t="s">
        <v>26</v>
      </c>
      <c r="F5" s="10" t="s">
        <v>27</v>
      </c>
      <c r="G5" s="9">
        <v>4163</v>
      </c>
      <c r="H5" s="12">
        <v>2323232</v>
      </c>
      <c r="I5" s="15">
        <v>33970</v>
      </c>
    </row>
    <row r="6" spans="1:9" x14ac:dyDescent="0.3">
      <c r="A6" s="9">
        <v>116</v>
      </c>
      <c r="B6" s="10" t="s">
        <v>28</v>
      </c>
      <c r="C6" s="10" t="s">
        <v>29</v>
      </c>
      <c r="D6" s="10" t="s">
        <v>30</v>
      </c>
      <c r="E6" s="10" t="s">
        <v>17</v>
      </c>
      <c r="F6" s="10" t="s">
        <v>31</v>
      </c>
      <c r="G6" s="9">
        <v>5903</v>
      </c>
      <c r="H6" s="12">
        <v>222</v>
      </c>
      <c r="I6" s="15">
        <v>34335</v>
      </c>
    </row>
    <row r="7" spans="1:9" x14ac:dyDescent="0.3">
      <c r="A7" s="9">
        <v>120</v>
      </c>
      <c r="B7" s="10" t="s">
        <v>32</v>
      </c>
      <c r="C7" s="10" t="s">
        <v>33</v>
      </c>
      <c r="D7" s="10" t="s">
        <v>34</v>
      </c>
      <c r="E7" s="10" t="s">
        <v>12</v>
      </c>
      <c r="F7" s="10" t="s">
        <v>35</v>
      </c>
      <c r="G7" s="9">
        <v>2112</v>
      </c>
      <c r="H7" s="12">
        <v>60</v>
      </c>
      <c r="I7" s="15">
        <v>34700</v>
      </c>
    </row>
    <row r="8" spans="1:9" x14ac:dyDescent="0.3">
      <c r="A8" s="9">
        <v>124</v>
      </c>
      <c r="B8" s="10" t="s">
        <v>36</v>
      </c>
      <c r="C8" s="10" t="s">
        <v>37</v>
      </c>
      <c r="D8" s="10" t="s">
        <v>38</v>
      </c>
      <c r="E8" s="10" t="s">
        <v>17</v>
      </c>
      <c r="F8" s="10" t="s">
        <v>39</v>
      </c>
      <c r="G8" s="9">
        <v>7222</v>
      </c>
      <c r="H8" s="12">
        <v>23456</v>
      </c>
      <c r="I8" s="15">
        <v>35065</v>
      </c>
    </row>
    <row r="9" spans="1:9" x14ac:dyDescent="0.3">
      <c r="A9" s="9">
        <v>128</v>
      </c>
      <c r="B9" s="10" t="s">
        <v>40</v>
      </c>
      <c r="C9" s="10" t="s">
        <v>41</v>
      </c>
      <c r="D9" s="10" t="s">
        <v>42</v>
      </c>
      <c r="E9" s="10" t="s">
        <v>26</v>
      </c>
      <c r="F9" s="10" t="s">
        <v>43</v>
      </c>
      <c r="G9" s="9">
        <v>5640</v>
      </c>
      <c r="H9" s="12">
        <v>95</v>
      </c>
      <c r="I9" s="15">
        <v>35431</v>
      </c>
    </row>
    <row r="10" spans="1:9" x14ac:dyDescent="0.3">
      <c r="A10" s="9">
        <v>132</v>
      </c>
      <c r="B10" s="10" t="s">
        <v>44</v>
      </c>
      <c r="C10" s="10" t="s">
        <v>45</v>
      </c>
      <c r="D10" s="10" t="s">
        <v>46</v>
      </c>
      <c r="E10" s="10" t="s">
        <v>17</v>
      </c>
      <c r="F10" s="10" t="s">
        <v>47</v>
      </c>
      <c r="G10" s="9">
        <v>9747</v>
      </c>
      <c r="H10" s="12">
        <v>0</v>
      </c>
      <c r="I10" s="15">
        <v>35796</v>
      </c>
    </row>
    <row r="11" spans="1:9" x14ac:dyDescent="0.3">
      <c r="A11" s="9">
        <v>136</v>
      </c>
      <c r="B11" s="10" t="s">
        <v>48</v>
      </c>
      <c r="C11" s="10" t="s">
        <v>49</v>
      </c>
      <c r="D11" s="10" t="s">
        <v>50</v>
      </c>
      <c r="E11" s="10" t="s">
        <v>26</v>
      </c>
      <c r="F11" s="10" t="s">
        <v>51</v>
      </c>
      <c r="G11" s="9">
        <v>455</v>
      </c>
      <c r="H11" s="12">
        <v>40</v>
      </c>
      <c r="I11" s="15">
        <v>36161</v>
      </c>
    </row>
  </sheetData>
  <sheetProtection algorithmName="SHA-512" hashValue="eLwMuBPOzdVXZZxJCwLOH2YkIwR/i1Vo7+haOIP/TSxy/ybCbwnmAYa4NMviUQFy6V8k9M4650SUak1TWs7B5Q==" saltValue="dtunI2QYWBNcyUA2KBByxw==" spinCount="100000" sheet="1" objects="1" scenarios="1" selectLockedCells="1" selectUnlockedCells="1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30A7B-FFAA-4739-8A5F-EADA9F705286}">
  <sheetPr>
    <tabColor rgb="FF00B050"/>
  </sheetPr>
  <dimension ref="A1:I11"/>
  <sheetViews>
    <sheetView workbookViewId="0">
      <selection activeCell="F15" sqref="F15"/>
    </sheetView>
  </sheetViews>
  <sheetFormatPr defaultRowHeight="14.4" x14ac:dyDescent="0.3"/>
  <cols>
    <col min="1" max="1" width="24.33203125" bestFit="1" customWidth="1"/>
    <col min="2" max="2" width="16.109375" bestFit="1" customWidth="1"/>
    <col min="3" max="3" width="16.44140625" bestFit="1" customWidth="1"/>
    <col min="4" max="4" width="15.33203125" bestFit="1" customWidth="1"/>
    <col min="5" max="5" width="9.5546875" bestFit="1" customWidth="1"/>
    <col min="6" max="6" width="11.88671875" bestFit="1" customWidth="1"/>
    <col min="7" max="7" width="17.5546875" style="4" bestFit="1" customWidth="1"/>
    <col min="8" max="8" width="13.6640625" style="3" bestFit="1" customWidth="1"/>
    <col min="9" max="9" width="9.88671875" style="2" bestFit="1" customWidth="1"/>
  </cols>
  <sheetData>
    <row r="1" spans="1:9" ht="18" thickBot="1" x14ac:dyDescent="0.3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7" t="s">
        <v>6</v>
      </c>
      <c r="H1" s="18" t="s">
        <v>7</v>
      </c>
      <c r="I1" s="19" t="s">
        <v>8</v>
      </c>
    </row>
    <row r="2" spans="1:9" ht="15" thickTop="1" x14ac:dyDescent="0.3">
      <c r="A2" s="20">
        <v>100</v>
      </c>
      <c r="B2" s="14" t="s">
        <v>9</v>
      </c>
      <c r="C2" s="14" t="s">
        <v>10</v>
      </c>
      <c r="D2" s="14" t="s">
        <v>11</v>
      </c>
      <c r="E2" s="14" t="s">
        <v>12</v>
      </c>
      <c r="F2" s="14" t="s">
        <v>13</v>
      </c>
      <c r="G2" s="21">
        <v>9906</v>
      </c>
      <c r="H2" s="22">
        <v>45</v>
      </c>
      <c r="I2" s="15">
        <v>32874</v>
      </c>
    </row>
    <row r="3" spans="1:9" x14ac:dyDescent="0.3">
      <c r="A3" s="20">
        <v>104</v>
      </c>
      <c r="B3" s="14" t="s">
        <v>14</v>
      </c>
      <c r="C3" s="14" t="s">
        <v>15</v>
      </c>
      <c r="D3" s="14" t="s">
        <v>16</v>
      </c>
      <c r="E3" s="14" t="s">
        <v>17</v>
      </c>
      <c r="F3" s="14" t="s">
        <v>18</v>
      </c>
      <c r="G3" s="21">
        <v>4596</v>
      </c>
      <c r="H3" s="22">
        <v>8000</v>
      </c>
      <c r="I3" s="15">
        <v>33239</v>
      </c>
    </row>
    <row r="4" spans="1:9" x14ac:dyDescent="0.3">
      <c r="A4" s="20">
        <v>108</v>
      </c>
      <c r="B4" s="14" t="s">
        <v>19</v>
      </c>
      <c r="C4" s="14" t="s">
        <v>20</v>
      </c>
      <c r="D4" s="14" t="s">
        <v>21</v>
      </c>
      <c r="E4" s="14" t="s">
        <v>12</v>
      </c>
      <c r="F4" s="14" t="s">
        <v>22</v>
      </c>
      <c r="G4" s="21">
        <v>3128</v>
      </c>
      <c r="H4" s="22">
        <v>200</v>
      </c>
      <c r="I4" s="15">
        <v>33604</v>
      </c>
    </row>
    <row r="5" spans="1:9" x14ac:dyDescent="0.3">
      <c r="A5" s="20">
        <v>112</v>
      </c>
      <c r="B5" s="14" t="s">
        <v>23</v>
      </c>
      <c r="C5" s="14" t="s">
        <v>24</v>
      </c>
      <c r="D5" s="14" t="s">
        <v>25</v>
      </c>
      <c r="E5" s="14" t="s">
        <v>26</v>
      </c>
      <c r="F5" s="14" t="s">
        <v>27</v>
      </c>
      <c r="G5" s="21">
        <v>4163</v>
      </c>
      <c r="H5" s="22">
        <v>2323232</v>
      </c>
      <c r="I5" s="15">
        <v>33970</v>
      </c>
    </row>
    <row r="6" spans="1:9" x14ac:dyDescent="0.3">
      <c r="A6" s="20">
        <v>116</v>
      </c>
      <c r="B6" s="14" t="s">
        <v>28</v>
      </c>
      <c r="C6" s="14" t="s">
        <v>29</v>
      </c>
      <c r="D6" s="14" t="s">
        <v>30</v>
      </c>
      <c r="E6" s="14" t="s">
        <v>17</v>
      </c>
      <c r="F6" s="14" t="s">
        <v>31</v>
      </c>
      <c r="G6" s="21">
        <v>5903</v>
      </c>
      <c r="H6" s="22">
        <v>222</v>
      </c>
      <c r="I6" s="15">
        <v>34335</v>
      </c>
    </row>
    <row r="7" spans="1:9" x14ac:dyDescent="0.3">
      <c r="A7" s="20">
        <v>120</v>
      </c>
      <c r="B7" s="14" t="s">
        <v>32</v>
      </c>
      <c r="C7" s="14" t="s">
        <v>33</v>
      </c>
      <c r="D7" s="14" t="s">
        <v>34</v>
      </c>
      <c r="E7" s="14" t="s">
        <v>12</v>
      </c>
      <c r="F7" s="14" t="s">
        <v>35</v>
      </c>
      <c r="G7" s="21">
        <v>2112</v>
      </c>
      <c r="H7" s="22">
        <v>60</v>
      </c>
      <c r="I7" s="15">
        <v>34700</v>
      </c>
    </row>
    <row r="8" spans="1:9" x14ac:dyDescent="0.3">
      <c r="A8" s="20">
        <v>124</v>
      </c>
      <c r="B8" s="14" t="s">
        <v>36</v>
      </c>
      <c r="C8" s="14" t="s">
        <v>37</v>
      </c>
      <c r="D8" s="14" t="s">
        <v>38</v>
      </c>
      <c r="E8" s="14" t="s">
        <v>17</v>
      </c>
      <c r="F8" s="14" t="s">
        <v>39</v>
      </c>
      <c r="G8" s="21">
        <v>7222</v>
      </c>
      <c r="H8" s="22">
        <v>23456</v>
      </c>
      <c r="I8" s="15">
        <v>35065</v>
      </c>
    </row>
    <row r="9" spans="1:9" x14ac:dyDescent="0.3">
      <c r="A9" s="20">
        <v>128</v>
      </c>
      <c r="B9" s="14" t="s">
        <v>40</v>
      </c>
      <c r="C9" s="14" t="s">
        <v>41</v>
      </c>
      <c r="D9" s="14" t="s">
        <v>42</v>
      </c>
      <c r="E9" s="14" t="s">
        <v>26</v>
      </c>
      <c r="F9" s="14" t="s">
        <v>43</v>
      </c>
      <c r="G9" s="21">
        <v>5640</v>
      </c>
      <c r="H9" s="22">
        <v>95</v>
      </c>
      <c r="I9" s="15">
        <v>35431</v>
      </c>
    </row>
    <row r="10" spans="1:9" x14ac:dyDescent="0.3">
      <c r="A10" s="20">
        <v>132</v>
      </c>
      <c r="B10" s="14" t="s">
        <v>44</v>
      </c>
      <c r="C10" s="14" t="s">
        <v>45</v>
      </c>
      <c r="D10" s="14" t="s">
        <v>46</v>
      </c>
      <c r="E10" s="14" t="s">
        <v>17</v>
      </c>
      <c r="F10" s="14" t="s">
        <v>47</v>
      </c>
      <c r="G10" s="21">
        <v>9747</v>
      </c>
      <c r="H10" s="22">
        <v>0</v>
      </c>
      <c r="I10" s="15">
        <v>35796</v>
      </c>
    </row>
    <row r="11" spans="1:9" x14ac:dyDescent="0.3">
      <c r="A11" s="20">
        <v>136</v>
      </c>
      <c r="B11" s="14" t="s">
        <v>48</v>
      </c>
      <c r="C11" s="14" t="s">
        <v>49</v>
      </c>
      <c r="D11" s="14" t="s">
        <v>50</v>
      </c>
      <c r="E11" s="14" t="s">
        <v>26</v>
      </c>
      <c r="F11" s="14" t="s">
        <v>51</v>
      </c>
      <c r="G11" s="21">
        <v>455</v>
      </c>
      <c r="H11" s="22">
        <v>40</v>
      </c>
      <c r="I11" s="15">
        <v>36161</v>
      </c>
    </row>
  </sheetData>
  <sheetProtection algorithmName="SHA-512" hashValue="rS3qBFd3XpTDsl0JfLhWDju65QHXulU1ti/RcRSkwubjZlRjMfqw9KKwJQFPWu1bX4b99FnajJhaOpRpqx9W/w==" saltValue="jdSyGz6wdN4BJkqeNTvSEw==" spinCount="100000" sheet="1" objects="1" scenarios="1" selectLockedCells="1" selectUnlockedCells="1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AE9C6-32C7-4D25-90F0-587FFFC55A14}">
  <sheetPr>
    <tabColor rgb="FF00B0F0"/>
  </sheetPr>
  <dimension ref="A1:I12"/>
  <sheetViews>
    <sheetView workbookViewId="0">
      <selection activeCell="F28" sqref="F28"/>
    </sheetView>
  </sheetViews>
  <sheetFormatPr defaultRowHeight="14.4" x14ac:dyDescent="0.3"/>
  <cols>
    <col min="1" max="1" width="24.5546875" bestFit="1" customWidth="1"/>
    <col min="2" max="2" width="16.109375" bestFit="1" customWidth="1"/>
    <col min="3" max="3" width="16.44140625" bestFit="1" customWidth="1"/>
    <col min="4" max="4" width="15.5546875" bestFit="1" customWidth="1"/>
    <col min="5" max="5" width="9.33203125" bestFit="1" customWidth="1"/>
    <col min="6" max="6" width="12" bestFit="1" customWidth="1"/>
    <col min="7" max="7" width="17.21875" style="4" bestFit="1" customWidth="1"/>
    <col min="8" max="8" width="13.33203125" style="3" bestFit="1" customWidth="1"/>
    <col min="9" max="9" width="10" style="2" bestFit="1" customWidth="1"/>
  </cols>
  <sheetData>
    <row r="1" spans="1:9" ht="18" thickBot="1" x14ac:dyDescent="0.3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7" t="s">
        <v>6</v>
      </c>
      <c r="H1" s="18" t="s">
        <v>7</v>
      </c>
      <c r="I1" s="19" t="s">
        <v>8</v>
      </c>
    </row>
    <row r="2" spans="1:9" ht="15" thickTop="1" x14ac:dyDescent="0.3">
      <c r="A2" s="9">
        <v>100</v>
      </c>
      <c r="B2" s="10" t="s">
        <v>9</v>
      </c>
      <c r="C2" s="10" t="s">
        <v>10</v>
      </c>
      <c r="D2" s="10" t="s">
        <v>11</v>
      </c>
      <c r="E2" s="10" t="s">
        <v>12</v>
      </c>
      <c r="F2" s="10" t="s">
        <v>13</v>
      </c>
      <c r="G2" s="11">
        <v>9906</v>
      </c>
      <c r="H2" s="12">
        <v>45</v>
      </c>
      <c r="I2" s="15">
        <v>32874</v>
      </c>
    </row>
    <row r="3" spans="1:9" x14ac:dyDescent="0.3">
      <c r="A3" s="9">
        <v>104</v>
      </c>
      <c r="B3" s="10" t="s">
        <v>14</v>
      </c>
      <c r="C3" s="10" t="s">
        <v>15</v>
      </c>
      <c r="D3" s="10" t="s">
        <v>16</v>
      </c>
      <c r="E3" s="10" t="s">
        <v>17</v>
      </c>
      <c r="F3" s="10" t="s">
        <v>18</v>
      </c>
      <c r="G3" s="11">
        <v>4596</v>
      </c>
      <c r="H3" s="12">
        <v>8000</v>
      </c>
      <c r="I3" s="15">
        <v>33239</v>
      </c>
    </row>
    <row r="4" spans="1:9" x14ac:dyDescent="0.3">
      <c r="A4" s="9">
        <v>108</v>
      </c>
      <c r="B4" s="10" t="s">
        <v>19</v>
      </c>
      <c r="C4" s="10" t="s">
        <v>20</v>
      </c>
      <c r="D4" s="10" t="s">
        <v>21</v>
      </c>
      <c r="E4" s="10" t="s">
        <v>12</v>
      </c>
      <c r="F4" s="10" t="s">
        <v>22</v>
      </c>
      <c r="G4" s="11">
        <v>3128</v>
      </c>
      <c r="H4" s="12">
        <v>200</v>
      </c>
      <c r="I4" s="15">
        <v>33604</v>
      </c>
    </row>
    <row r="5" spans="1:9" x14ac:dyDescent="0.3">
      <c r="A5" s="9">
        <v>112</v>
      </c>
      <c r="B5" s="10" t="s">
        <v>23</v>
      </c>
      <c r="C5" s="10" t="s">
        <v>24</v>
      </c>
      <c r="D5" s="10" t="s">
        <v>25</v>
      </c>
      <c r="E5" s="10" t="s">
        <v>26</v>
      </c>
      <c r="F5" s="10" t="s">
        <v>27</v>
      </c>
      <c r="G5" s="11">
        <v>4163</v>
      </c>
      <c r="H5" s="12">
        <v>2323232</v>
      </c>
      <c r="I5" s="15">
        <v>33970</v>
      </c>
    </row>
    <row r="6" spans="1:9" x14ac:dyDescent="0.3">
      <c r="A6" s="9">
        <v>116</v>
      </c>
      <c r="B6" s="10" t="s">
        <v>28</v>
      </c>
      <c r="C6" s="10" t="s">
        <v>29</v>
      </c>
      <c r="D6" s="10" t="s">
        <v>30</v>
      </c>
      <c r="E6" s="10" t="s">
        <v>17</v>
      </c>
      <c r="F6" s="10" t="s">
        <v>31</v>
      </c>
      <c r="G6" s="11">
        <v>5903</v>
      </c>
      <c r="H6" s="12">
        <v>222</v>
      </c>
      <c r="I6" s="15">
        <v>34335</v>
      </c>
    </row>
    <row r="7" spans="1:9" x14ac:dyDescent="0.3">
      <c r="A7" s="9">
        <v>120</v>
      </c>
      <c r="B7" s="10" t="s">
        <v>32</v>
      </c>
      <c r="C7" s="10" t="s">
        <v>33</v>
      </c>
      <c r="D7" s="10" t="s">
        <v>34</v>
      </c>
      <c r="E7" s="10" t="s">
        <v>12</v>
      </c>
      <c r="F7" s="10" t="s">
        <v>35</v>
      </c>
      <c r="G7" s="11">
        <v>2112</v>
      </c>
      <c r="H7" s="12">
        <v>60</v>
      </c>
      <c r="I7" s="15">
        <v>34700</v>
      </c>
    </row>
    <row r="8" spans="1:9" x14ac:dyDescent="0.3">
      <c r="A8" s="9">
        <v>124</v>
      </c>
      <c r="B8" s="10" t="s">
        <v>36</v>
      </c>
      <c r="C8" s="10" t="s">
        <v>37</v>
      </c>
      <c r="D8" s="10" t="s">
        <v>38</v>
      </c>
      <c r="E8" s="10" t="s">
        <v>17</v>
      </c>
      <c r="F8" s="10" t="s">
        <v>39</v>
      </c>
      <c r="G8" s="11">
        <v>7222</v>
      </c>
      <c r="H8" s="12">
        <v>23456</v>
      </c>
      <c r="I8" s="15">
        <v>35065</v>
      </c>
    </row>
    <row r="9" spans="1:9" x14ac:dyDescent="0.3">
      <c r="A9" s="9">
        <v>128</v>
      </c>
      <c r="B9" s="10" t="s">
        <v>40</v>
      </c>
      <c r="C9" s="10" t="s">
        <v>41</v>
      </c>
      <c r="D9" s="10" t="s">
        <v>42</v>
      </c>
      <c r="E9" s="10" t="s">
        <v>26</v>
      </c>
      <c r="F9" s="10" t="s">
        <v>43</v>
      </c>
      <c r="G9" s="11">
        <v>5640</v>
      </c>
      <c r="H9" s="12">
        <v>95</v>
      </c>
      <c r="I9" s="15">
        <v>35431</v>
      </c>
    </row>
    <row r="10" spans="1:9" x14ac:dyDescent="0.3">
      <c r="A10" s="9">
        <v>132</v>
      </c>
      <c r="B10" s="10" t="s">
        <v>44</v>
      </c>
      <c r="C10" s="10" t="s">
        <v>45</v>
      </c>
      <c r="D10" s="10" t="s">
        <v>46</v>
      </c>
      <c r="E10" s="10" t="s">
        <v>17</v>
      </c>
      <c r="F10" s="10" t="s">
        <v>47</v>
      </c>
      <c r="G10" s="11">
        <v>9747</v>
      </c>
      <c r="H10" s="12">
        <v>0</v>
      </c>
      <c r="I10" s="15">
        <v>35796</v>
      </c>
    </row>
    <row r="11" spans="1:9" x14ac:dyDescent="0.3">
      <c r="A11" s="9">
        <v>136</v>
      </c>
      <c r="B11" s="10" t="s">
        <v>48</v>
      </c>
      <c r="C11" s="10" t="s">
        <v>49</v>
      </c>
      <c r="D11" s="10" t="s">
        <v>50</v>
      </c>
      <c r="E11" s="10" t="s">
        <v>26</v>
      </c>
      <c r="F11" s="10" t="s">
        <v>51</v>
      </c>
      <c r="G11" s="11">
        <v>455</v>
      </c>
      <c r="H11" s="12">
        <v>40</v>
      </c>
      <c r="I11" s="15">
        <v>36161</v>
      </c>
    </row>
    <row r="12" spans="1:9" x14ac:dyDescent="0.3">
      <c r="A12" s="9"/>
      <c r="B12" s="10"/>
      <c r="C12" s="10"/>
      <c r="D12" s="10"/>
      <c r="E12" s="10"/>
      <c r="F12" s="10"/>
      <c r="G12" s="11"/>
      <c r="H12" s="12">
        <f>SUM(Customer_Data38[Balance])</f>
        <v>2355350</v>
      </c>
      <c r="I12" s="13"/>
    </row>
  </sheetData>
  <sheetProtection algorithmName="SHA-512" hashValue="sd7PNfOGIuMcBjHZ/+GVjYXP26G38MoVqjHV9cuZ5MTG2F//uD1scKRR21Zzo3sE+b0jHi9RaYKLvpUCKHN4vQ==" saltValue="FCRbbk1ZsJRnIb1vkp67Zg==" spinCount="100000" sheet="1" objects="1" scenarios="1" selectLockedCells="1" selectUnlockedCells="1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40E65-5D0E-4611-8733-21B00011A75F}">
  <sheetPr>
    <tabColor rgb="FF0070C0"/>
  </sheetPr>
  <dimension ref="A1:I12"/>
  <sheetViews>
    <sheetView workbookViewId="0">
      <selection activeCell="F8" sqref="F8"/>
    </sheetView>
  </sheetViews>
  <sheetFormatPr defaultRowHeight="14.4" x14ac:dyDescent="0.3"/>
  <cols>
    <col min="1" max="1" width="24.5546875" bestFit="1" customWidth="1"/>
    <col min="2" max="2" width="16.109375" bestFit="1" customWidth="1"/>
    <col min="3" max="3" width="16.44140625" bestFit="1" customWidth="1"/>
    <col min="4" max="4" width="15.5546875" bestFit="1" customWidth="1"/>
    <col min="5" max="5" width="9.33203125" bestFit="1" customWidth="1"/>
    <col min="6" max="6" width="12" bestFit="1" customWidth="1"/>
    <col min="7" max="7" width="17.21875" style="4" bestFit="1" customWidth="1"/>
    <col min="8" max="8" width="13.33203125" style="3" bestFit="1" customWidth="1"/>
    <col min="9" max="9" width="10" style="2" bestFit="1" customWidth="1"/>
  </cols>
  <sheetData>
    <row r="1" spans="1:9" ht="18" thickBot="1" x14ac:dyDescent="0.3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7" t="s">
        <v>6</v>
      </c>
      <c r="H1" s="18" t="s">
        <v>7</v>
      </c>
      <c r="I1" s="19" t="s">
        <v>8</v>
      </c>
    </row>
    <row r="2" spans="1:9" ht="15" thickTop="1" x14ac:dyDescent="0.3">
      <c r="A2" s="9">
        <v>104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1">
        <v>4596</v>
      </c>
      <c r="H2" s="12">
        <v>8000</v>
      </c>
      <c r="I2" s="15">
        <v>33239</v>
      </c>
    </row>
    <row r="3" spans="1:9" x14ac:dyDescent="0.3">
      <c r="A3" s="9">
        <v>116</v>
      </c>
      <c r="B3" s="10" t="s">
        <v>28</v>
      </c>
      <c r="C3" s="10" t="s">
        <v>29</v>
      </c>
      <c r="D3" s="10" t="s">
        <v>30</v>
      </c>
      <c r="E3" s="10" t="s">
        <v>17</v>
      </c>
      <c r="F3" s="10" t="s">
        <v>31</v>
      </c>
      <c r="G3" s="11">
        <v>5903</v>
      </c>
      <c r="H3" s="12">
        <v>222</v>
      </c>
      <c r="I3" s="15">
        <v>34335</v>
      </c>
    </row>
    <row r="4" spans="1:9" x14ac:dyDescent="0.3">
      <c r="A4" s="9">
        <v>120</v>
      </c>
      <c r="B4" s="10" t="s">
        <v>32</v>
      </c>
      <c r="C4" s="10" t="s">
        <v>33</v>
      </c>
      <c r="D4" s="10" t="s">
        <v>34</v>
      </c>
      <c r="E4" s="10" t="s">
        <v>12</v>
      </c>
      <c r="F4" s="10" t="s">
        <v>35</v>
      </c>
      <c r="G4" s="11">
        <v>2112</v>
      </c>
      <c r="H4" s="12">
        <v>60</v>
      </c>
      <c r="I4" s="15">
        <v>34700</v>
      </c>
    </row>
    <row r="5" spans="1:9" x14ac:dyDescent="0.3">
      <c r="A5" s="9">
        <v>100</v>
      </c>
      <c r="B5" s="10" t="s">
        <v>9</v>
      </c>
      <c r="C5" s="10" t="s">
        <v>10</v>
      </c>
      <c r="D5" s="10" t="s">
        <v>11</v>
      </c>
      <c r="E5" s="10" t="s">
        <v>12</v>
      </c>
      <c r="F5" s="10" t="s">
        <v>13</v>
      </c>
      <c r="G5" s="11">
        <v>9906</v>
      </c>
      <c r="H5" s="12">
        <v>45</v>
      </c>
      <c r="I5" s="15">
        <v>32874</v>
      </c>
    </row>
    <row r="6" spans="1:9" x14ac:dyDescent="0.3">
      <c r="A6" s="9">
        <v>112</v>
      </c>
      <c r="B6" s="10" t="s">
        <v>23</v>
      </c>
      <c r="C6" s="10" t="s">
        <v>24</v>
      </c>
      <c r="D6" s="10" t="s">
        <v>25</v>
      </c>
      <c r="E6" s="10" t="s">
        <v>26</v>
      </c>
      <c r="F6" s="10" t="s">
        <v>27</v>
      </c>
      <c r="G6" s="11">
        <v>4163</v>
      </c>
      <c r="H6" s="12">
        <v>2323232</v>
      </c>
      <c r="I6" s="15">
        <v>33970</v>
      </c>
    </row>
    <row r="7" spans="1:9" x14ac:dyDescent="0.3">
      <c r="A7" s="9">
        <v>136</v>
      </c>
      <c r="B7" s="10" t="s">
        <v>48</v>
      </c>
      <c r="C7" s="10" t="s">
        <v>49</v>
      </c>
      <c r="D7" s="10" t="s">
        <v>50</v>
      </c>
      <c r="E7" s="10" t="s">
        <v>26</v>
      </c>
      <c r="F7" s="10" t="s">
        <v>51</v>
      </c>
      <c r="G7" s="11">
        <v>455</v>
      </c>
      <c r="H7" s="12">
        <v>40</v>
      </c>
      <c r="I7" s="15">
        <v>36161</v>
      </c>
    </row>
    <row r="8" spans="1:9" x14ac:dyDescent="0.3">
      <c r="A8" s="9">
        <v>108</v>
      </c>
      <c r="B8" s="10" t="s">
        <v>19</v>
      </c>
      <c r="C8" s="10" t="s">
        <v>20</v>
      </c>
      <c r="D8" s="10" t="s">
        <v>21</v>
      </c>
      <c r="E8" s="10" t="s">
        <v>12</v>
      </c>
      <c r="F8" s="10" t="s">
        <v>22</v>
      </c>
      <c r="G8" s="11">
        <v>3128</v>
      </c>
      <c r="H8" s="12">
        <v>200</v>
      </c>
      <c r="I8" s="15">
        <v>33604</v>
      </c>
    </row>
    <row r="9" spans="1:9" x14ac:dyDescent="0.3">
      <c r="A9" s="9">
        <v>124</v>
      </c>
      <c r="B9" s="10" t="s">
        <v>36</v>
      </c>
      <c r="C9" s="10" t="s">
        <v>37</v>
      </c>
      <c r="D9" s="10" t="s">
        <v>38</v>
      </c>
      <c r="E9" s="10" t="s">
        <v>17</v>
      </c>
      <c r="F9" s="10" t="s">
        <v>39</v>
      </c>
      <c r="G9" s="11">
        <v>7222</v>
      </c>
      <c r="H9" s="12">
        <v>23456</v>
      </c>
      <c r="I9" s="15">
        <v>35065</v>
      </c>
    </row>
    <row r="10" spans="1:9" x14ac:dyDescent="0.3">
      <c r="A10" s="9">
        <v>132</v>
      </c>
      <c r="B10" s="10" t="s">
        <v>44</v>
      </c>
      <c r="C10" s="10" t="s">
        <v>45</v>
      </c>
      <c r="D10" s="10" t="s">
        <v>46</v>
      </c>
      <c r="E10" s="10" t="s">
        <v>17</v>
      </c>
      <c r="F10" s="10" t="s">
        <v>47</v>
      </c>
      <c r="G10" s="11">
        <v>9747</v>
      </c>
      <c r="H10" s="12">
        <v>0</v>
      </c>
      <c r="I10" s="15">
        <v>35796</v>
      </c>
    </row>
    <row r="11" spans="1:9" x14ac:dyDescent="0.3">
      <c r="A11" s="9">
        <v>128</v>
      </c>
      <c r="B11" s="10" t="s">
        <v>40</v>
      </c>
      <c r="C11" s="10" t="s">
        <v>41</v>
      </c>
      <c r="D11" s="10" t="s">
        <v>42</v>
      </c>
      <c r="E11" s="10" t="s">
        <v>26</v>
      </c>
      <c r="F11" s="10" t="s">
        <v>43</v>
      </c>
      <c r="G11" s="11">
        <v>5640</v>
      </c>
      <c r="H11" s="12">
        <v>95</v>
      </c>
      <c r="I11" s="15">
        <v>35431</v>
      </c>
    </row>
    <row r="12" spans="1:9" x14ac:dyDescent="0.3">
      <c r="A12" s="9"/>
      <c r="B12" s="10"/>
      <c r="C12" s="10"/>
      <c r="D12" s="10"/>
      <c r="E12" s="10"/>
      <c r="F12" s="10"/>
      <c r="G12" s="11"/>
      <c r="H12" s="12">
        <f>SUM(Customer_Data315[Balance])</f>
        <v>2355350</v>
      </c>
      <c r="I12" s="13"/>
    </row>
  </sheetData>
  <sheetProtection algorithmName="SHA-512" hashValue="+R1aZ/RoZQ15hQKXrVVVtIZHHB5OMmpCFkjZr0ze/IL6mnUO0G8WPHcNq2TVJAT2nZIXyI/vzfFiy7rMMhAFYw==" saltValue="JFkWlyWuvQOv72L+dLNbfw==" spinCount="100000" sheet="1" objects="1" scenarios="1" selectLockedCells="1" selectUnlockedCells="1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4BA3D-CA16-4D6E-8734-394AE2DD6F82}">
  <sheetPr>
    <tabColor rgb="FF002060"/>
  </sheetPr>
  <dimension ref="A1:I12"/>
  <sheetViews>
    <sheetView workbookViewId="0">
      <selection activeCell="G18" sqref="G18"/>
    </sheetView>
  </sheetViews>
  <sheetFormatPr defaultRowHeight="14.4" x14ac:dyDescent="0.3"/>
  <cols>
    <col min="1" max="1" width="24.5546875" bestFit="1" customWidth="1"/>
    <col min="2" max="2" width="16.109375" bestFit="1" customWidth="1"/>
    <col min="3" max="3" width="16.44140625" bestFit="1" customWidth="1"/>
    <col min="4" max="4" width="15.5546875" bestFit="1" customWidth="1"/>
    <col min="5" max="5" width="9.33203125" bestFit="1" customWidth="1"/>
    <col min="6" max="6" width="12" bestFit="1" customWidth="1"/>
    <col min="7" max="7" width="17.21875" style="4" bestFit="1" customWidth="1"/>
    <col min="8" max="8" width="13.33203125" style="3" bestFit="1" customWidth="1"/>
    <col min="9" max="9" width="10" style="2" bestFit="1" customWidth="1"/>
  </cols>
  <sheetData>
    <row r="1" spans="1:9" ht="18" thickBo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7" t="s">
        <v>7</v>
      </c>
      <c r="I1" s="8" t="s">
        <v>8</v>
      </c>
    </row>
    <row r="2" spans="1:9" ht="15" thickTop="1" x14ac:dyDescent="0.3">
      <c r="A2" s="9">
        <v>100</v>
      </c>
      <c r="B2" s="10" t="s">
        <v>9</v>
      </c>
      <c r="C2" s="10" t="s">
        <v>10</v>
      </c>
      <c r="D2" s="10" t="s">
        <v>11</v>
      </c>
      <c r="E2" s="10" t="s">
        <v>12</v>
      </c>
      <c r="F2" s="10" t="s">
        <v>13</v>
      </c>
      <c r="G2" s="11">
        <v>9906</v>
      </c>
      <c r="H2" s="12">
        <v>45</v>
      </c>
      <c r="I2" s="15">
        <v>32874</v>
      </c>
    </row>
    <row r="3" spans="1:9" x14ac:dyDescent="0.3">
      <c r="A3" s="9">
        <v>132</v>
      </c>
      <c r="B3" s="10" t="s">
        <v>44</v>
      </c>
      <c r="C3" s="10" t="s">
        <v>45</v>
      </c>
      <c r="D3" s="10" t="s">
        <v>46</v>
      </c>
      <c r="E3" s="10" t="s">
        <v>17</v>
      </c>
      <c r="F3" s="10" t="s">
        <v>47</v>
      </c>
      <c r="G3" s="11">
        <v>9747</v>
      </c>
      <c r="H3" s="12">
        <v>0</v>
      </c>
      <c r="I3" s="15">
        <v>35796</v>
      </c>
    </row>
    <row r="4" spans="1:9" x14ac:dyDescent="0.3">
      <c r="A4" s="9">
        <v>124</v>
      </c>
      <c r="B4" s="10" t="s">
        <v>36</v>
      </c>
      <c r="C4" s="10" t="s">
        <v>37</v>
      </c>
      <c r="D4" s="10" t="s">
        <v>38</v>
      </c>
      <c r="E4" s="10" t="s">
        <v>17</v>
      </c>
      <c r="F4" s="10" t="s">
        <v>39</v>
      </c>
      <c r="G4" s="11">
        <v>7222</v>
      </c>
      <c r="H4" s="12">
        <v>23456</v>
      </c>
      <c r="I4" s="15">
        <v>35065</v>
      </c>
    </row>
    <row r="5" spans="1:9" x14ac:dyDescent="0.3">
      <c r="A5" s="9">
        <v>116</v>
      </c>
      <c r="B5" s="10" t="s">
        <v>28</v>
      </c>
      <c r="C5" s="10" t="s">
        <v>29</v>
      </c>
      <c r="D5" s="10" t="s">
        <v>30</v>
      </c>
      <c r="E5" s="10" t="s">
        <v>17</v>
      </c>
      <c r="F5" s="10" t="s">
        <v>31</v>
      </c>
      <c r="G5" s="11">
        <v>5903</v>
      </c>
      <c r="H5" s="12">
        <v>222</v>
      </c>
      <c r="I5" s="15">
        <v>34335</v>
      </c>
    </row>
    <row r="6" spans="1:9" x14ac:dyDescent="0.3">
      <c r="A6" s="9">
        <v>128</v>
      </c>
      <c r="B6" s="10" t="s">
        <v>40</v>
      </c>
      <c r="C6" s="10" t="s">
        <v>41</v>
      </c>
      <c r="D6" s="10" t="s">
        <v>42</v>
      </c>
      <c r="E6" s="10" t="s">
        <v>26</v>
      </c>
      <c r="F6" s="10" t="s">
        <v>43</v>
      </c>
      <c r="G6" s="11">
        <v>5640</v>
      </c>
      <c r="H6" s="12">
        <v>95</v>
      </c>
      <c r="I6" s="15">
        <v>35431</v>
      </c>
    </row>
    <row r="7" spans="1:9" x14ac:dyDescent="0.3">
      <c r="A7" s="9">
        <v>104</v>
      </c>
      <c r="B7" s="10" t="s">
        <v>14</v>
      </c>
      <c r="C7" s="10" t="s">
        <v>15</v>
      </c>
      <c r="D7" s="10" t="s">
        <v>16</v>
      </c>
      <c r="E7" s="10" t="s">
        <v>17</v>
      </c>
      <c r="F7" s="10" t="s">
        <v>18</v>
      </c>
      <c r="G7" s="11">
        <v>4596</v>
      </c>
      <c r="H7" s="12">
        <v>8000</v>
      </c>
      <c r="I7" s="15">
        <v>33239</v>
      </c>
    </row>
    <row r="8" spans="1:9" x14ac:dyDescent="0.3">
      <c r="A8" s="9">
        <v>112</v>
      </c>
      <c r="B8" s="10" t="s">
        <v>23</v>
      </c>
      <c r="C8" s="10" t="s">
        <v>24</v>
      </c>
      <c r="D8" s="10" t="s">
        <v>25</v>
      </c>
      <c r="E8" s="10" t="s">
        <v>26</v>
      </c>
      <c r="F8" s="10" t="s">
        <v>27</v>
      </c>
      <c r="G8" s="11">
        <v>4163</v>
      </c>
      <c r="H8" s="12">
        <v>2323232</v>
      </c>
      <c r="I8" s="15">
        <v>33970</v>
      </c>
    </row>
    <row r="9" spans="1:9" x14ac:dyDescent="0.3">
      <c r="A9" s="9">
        <v>108</v>
      </c>
      <c r="B9" s="10" t="s">
        <v>19</v>
      </c>
      <c r="C9" s="10" t="s">
        <v>20</v>
      </c>
      <c r="D9" s="10" t="s">
        <v>21</v>
      </c>
      <c r="E9" s="10" t="s">
        <v>12</v>
      </c>
      <c r="F9" s="10" t="s">
        <v>22</v>
      </c>
      <c r="G9" s="11">
        <v>3128</v>
      </c>
      <c r="H9" s="12">
        <v>200</v>
      </c>
      <c r="I9" s="15">
        <v>33604</v>
      </c>
    </row>
    <row r="10" spans="1:9" x14ac:dyDescent="0.3">
      <c r="A10" s="9">
        <v>120</v>
      </c>
      <c r="B10" s="10" t="s">
        <v>32</v>
      </c>
      <c r="C10" s="10" t="s">
        <v>33</v>
      </c>
      <c r="D10" s="10" t="s">
        <v>34</v>
      </c>
      <c r="E10" s="10" t="s">
        <v>12</v>
      </c>
      <c r="F10" s="10" t="s">
        <v>35</v>
      </c>
      <c r="G10" s="11">
        <v>2112</v>
      </c>
      <c r="H10" s="12">
        <v>60</v>
      </c>
      <c r="I10" s="15">
        <v>34700</v>
      </c>
    </row>
    <row r="11" spans="1:9" x14ac:dyDescent="0.3">
      <c r="A11" s="9">
        <v>136</v>
      </c>
      <c r="B11" s="10" t="s">
        <v>48</v>
      </c>
      <c r="C11" s="10" t="s">
        <v>49</v>
      </c>
      <c r="D11" s="10" t="s">
        <v>50</v>
      </c>
      <c r="E11" s="10" t="s">
        <v>26</v>
      </c>
      <c r="F11" s="10" t="s">
        <v>51</v>
      </c>
      <c r="G11" s="11">
        <v>455</v>
      </c>
      <c r="H11" s="12">
        <v>40</v>
      </c>
      <c r="I11" s="15">
        <v>36161</v>
      </c>
    </row>
    <row r="12" spans="1:9" x14ac:dyDescent="0.3">
      <c r="A12" s="9"/>
      <c r="B12" s="10"/>
      <c r="C12" s="10"/>
      <c r="D12" s="10"/>
      <c r="E12" s="10"/>
      <c r="F12" s="10"/>
      <c r="G12" s="11"/>
      <c r="H12" s="12">
        <f>SUM(Customer_Data316[Balance])</f>
        <v>2355350</v>
      </c>
      <c r="I12" s="13"/>
    </row>
  </sheetData>
  <sheetProtection algorithmName="SHA-512" hashValue="gGpfy8L8NmZGpdUcmsH4+RZj5a/jKR5JI3+0ZK3bEhZVNPIc+BKELNLSNSOxIfo+Z3bUS5mXmf0G5tO0eRQPgA==" saltValue="uCWltky6A/IAcWErN3/8rw==" spinCount="100000" sheet="1" objects="1" scenarios="1" selectLockedCells="1" selectUnlockedCells="1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3F510-DA6B-4752-BDFA-45C44B2201D4}">
  <sheetPr>
    <tabColor rgb="FF7030A0"/>
  </sheetPr>
  <dimension ref="A1:I12"/>
  <sheetViews>
    <sheetView workbookViewId="0">
      <selection activeCell="H1" sqref="H1"/>
    </sheetView>
  </sheetViews>
  <sheetFormatPr defaultRowHeight="14.4" x14ac:dyDescent="0.3"/>
  <cols>
    <col min="1" max="1" width="24.5546875" bestFit="1" customWidth="1"/>
    <col min="2" max="2" width="16.109375" bestFit="1" customWidth="1"/>
    <col min="3" max="3" width="16.44140625" bestFit="1" customWidth="1"/>
    <col min="4" max="4" width="15.33203125" bestFit="1" customWidth="1"/>
    <col min="5" max="5" width="9.33203125" bestFit="1" customWidth="1"/>
    <col min="6" max="6" width="12" bestFit="1" customWidth="1"/>
    <col min="7" max="7" width="17.21875" style="4" bestFit="1" customWidth="1"/>
    <col min="8" max="8" width="13.33203125" style="3" bestFit="1" customWidth="1"/>
    <col min="9" max="9" width="10" style="2" bestFit="1" customWidth="1"/>
  </cols>
  <sheetData>
    <row r="1" spans="1:9" ht="18" thickBot="1" x14ac:dyDescent="0.3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7" t="s">
        <v>6</v>
      </c>
      <c r="H1" s="18" t="s">
        <v>7</v>
      </c>
      <c r="I1" s="19" t="s">
        <v>8</v>
      </c>
    </row>
    <row r="2" spans="1:9" ht="15" thickTop="1" x14ac:dyDescent="0.3">
      <c r="A2" s="9">
        <v>100</v>
      </c>
      <c r="B2" s="10" t="s">
        <v>9</v>
      </c>
      <c r="C2" s="10" t="s">
        <v>10</v>
      </c>
      <c r="D2" s="10" t="s">
        <v>11</v>
      </c>
      <c r="E2" s="10" t="s">
        <v>12</v>
      </c>
      <c r="F2" s="10" t="s">
        <v>13</v>
      </c>
      <c r="G2" s="11">
        <v>9906</v>
      </c>
      <c r="H2" s="12">
        <v>45</v>
      </c>
      <c r="I2" s="15">
        <v>32874</v>
      </c>
    </row>
    <row r="3" spans="1:9" x14ac:dyDescent="0.3">
      <c r="A3" s="9">
        <v>132</v>
      </c>
      <c r="B3" s="10" t="s">
        <v>44</v>
      </c>
      <c r="C3" s="10" t="s">
        <v>45</v>
      </c>
      <c r="D3" s="10" t="s">
        <v>46</v>
      </c>
      <c r="E3" s="10" t="s">
        <v>17</v>
      </c>
      <c r="F3" s="10" t="s">
        <v>47</v>
      </c>
      <c r="G3" s="11">
        <v>9747</v>
      </c>
      <c r="H3" s="12">
        <v>0</v>
      </c>
      <c r="I3" s="15">
        <v>35796</v>
      </c>
    </row>
    <row r="4" spans="1:9" x14ac:dyDescent="0.3">
      <c r="A4" s="9">
        <v>124</v>
      </c>
      <c r="B4" s="10" t="s">
        <v>36</v>
      </c>
      <c r="C4" s="10" t="s">
        <v>37</v>
      </c>
      <c r="D4" s="10" t="s">
        <v>38</v>
      </c>
      <c r="E4" s="10" t="s">
        <v>17</v>
      </c>
      <c r="F4" s="10" t="s">
        <v>39</v>
      </c>
      <c r="G4" s="11">
        <v>7222</v>
      </c>
      <c r="H4" s="12">
        <v>23456</v>
      </c>
      <c r="I4" s="15">
        <v>35065</v>
      </c>
    </row>
    <row r="5" spans="1:9" hidden="1" x14ac:dyDescent="0.3">
      <c r="A5">
        <v>116</v>
      </c>
      <c r="B5" s="1" t="s">
        <v>28</v>
      </c>
      <c r="C5" s="1" t="s">
        <v>29</v>
      </c>
      <c r="D5" s="1" t="s">
        <v>30</v>
      </c>
      <c r="E5" s="1" t="s">
        <v>17</v>
      </c>
      <c r="F5" s="1" t="s">
        <v>31</v>
      </c>
      <c r="G5" s="4">
        <v>5903</v>
      </c>
      <c r="H5" s="3">
        <v>222</v>
      </c>
      <c r="I5" s="2">
        <v>34335</v>
      </c>
    </row>
    <row r="6" spans="1:9" hidden="1" x14ac:dyDescent="0.3">
      <c r="A6">
        <v>128</v>
      </c>
      <c r="B6" s="1" t="s">
        <v>40</v>
      </c>
      <c r="C6" s="1" t="s">
        <v>41</v>
      </c>
      <c r="D6" s="1" t="s">
        <v>42</v>
      </c>
      <c r="E6" s="1" t="s">
        <v>26</v>
      </c>
      <c r="F6" s="1" t="s">
        <v>43</v>
      </c>
      <c r="G6" s="4">
        <v>5640</v>
      </c>
      <c r="H6" s="3">
        <v>95</v>
      </c>
      <c r="I6" s="2">
        <v>35431</v>
      </c>
    </row>
    <row r="7" spans="1:9" hidden="1" x14ac:dyDescent="0.3">
      <c r="A7">
        <v>104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4">
        <v>4596</v>
      </c>
      <c r="H7" s="3">
        <v>8000</v>
      </c>
      <c r="I7" s="2">
        <v>33239</v>
      </c>
    </row>
    <row r="8" spans="1:9" hidden="1" x14ac:dyDescent="0.3">
      <c r="A8">
        <v>112</v>
      </c>
      <c r="B8" s="1" t="s">
        <v>23</v>
      </c>
      <c r="C8" s="1" t="s">
        <v>24</v>
      </c>
      <c r="D8" s="1" t="s">
        <v>25</v>
      </c>
      <c r="E8" s="1" t="s">
        <v>26</v>
      </c>
      <c r="F8" s="1" t="s">
        <v>27</v>
      </c>
      <c r="G8" s="4">
        <v>4163</v>
      </c>
      <c r="H8" s="3">
        <v>2323232</v>
      </c>
      <c r="I8" s="2">
        <v>33970</v>
      </c>
    </row>
    <row r="9" spans="1:9" hidden="1" x14ac:dyDescent="0.3">
      <c r="A9">
        <v>108</v>
      </c>
      <c r="B9" s="1" t="s">
        <v>19</v>
      </c>
      <c r="C9" s="1" t="s">
        <v>20</v>
      </c>
      <c r="D9" s="1" t="s">
        <v>21</v>
      </c>
      <c r="E9" s="1" t="s">
        <v>12</v>
      </c>
      <c r="F9" s="1" t="s">
        <v>22</v>
      </c>
      <c r="G9" s="4">
        <v>3128</v>
      </c>
      <c r="H9" s="3">
        <v>200</v>
      </c>
      <c r="I9" s="2">
        <v>33604</v>
      </c>
    </row>
    <row r="10" spans="1:9" hidden="1" x14ac:dyDescent="0.3">
      <c r="A10">
        <v>120</v>
      </c>
      <c r="B10" s="1" t="s">
        <v>32</v>
      </c>
      <c r="C10" s="1" t="s">
        <v>33</v>
      </c>
      <c r="D10" s="1" t="s">
        <v>34</v>
      </c>
      <c r="E10" s="1" t="s">
        <v>12</v>
      </c>
      <c r="F10" s="1" t="s">
        <v>35</v>
      </c>
      <c r="G10" s="4">
        <v>2112</v>
      </c>
      <c r="H10" s="3">
        <v>60</v>
      </c>
      <c r="I10" s="2">
        <v>34700</v>
      </c>
    </row>
    <row r="11" spans="1:9" hidden="1" x14ac:dyDescent="0.3">
      <c r="A11">
        <v>136</v>
      </c>
      <c r="B11" s="1" t="s">
        <v>48</v>
      </c>
      <c r="C11" s="1" t="s">
        <v>49</v>
      </c>
      <c r="D11" s="1" t="s">
        <v>50</v>
      </c>
      <c r="E11" s="1" t="s">
        <v>26</v>
      </c>
      <c r="F11" s="1" t="s">
        <v>51</v>
      </c>
      <c r="G11" s="4">
        <v>455</v>
      </c>
      <c r="H11" s="3">
        <v>40</v>
      </c>
      <c r="I11" s="2">
        <v>36161</v>
      </c>
    </row>
    <row r="12" spans="1:9" x14ac:dyDescent="0.3">
      <c r="A12" s="9"/>
      <c r="B12" s="10"/>
      <c r="C12" s="10"/>
      <c r="D12" s="10"/>
      <c r="E12" s="10"/>
      <c r="F12" s="10"/>
      <c r="G12" s="11"/>
      <c r="H12" s="12">
        <f>SUM(Customer_Data317[Balance])</f>
        <v>2355350</v>
      </c>
      <c r="I12" s="13"/>
    </row>
  </sheetData>
  <sheetProtection algorithmName="SHA-512" hashValue="LvKiiqQpv2ojMYMwPniZnyENZ8BGYBFs5FxvNVQzTki8Yp7gvZdENEXIoaM8rwlzEqdo4jtKp5m7z0tj2yNzJA==" saltValue="0R86qrsOnNu38ep7MFpVDg==" spinCount="100000" sheet="1" objects="1" scenarios="1" selectLockedCells="1" selectUnlockedCells="1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097B0-F9F9-4B9D-A32F-0F0C2769D4D5}">
  <sheetPr>
    <tabColor theme="0" tint="-0.499984740745262"/>
  </sheetPr>
  <dimension ref="A1:I12"/>
  <sheetViews>
    <sheetView workbookViewId="0">
      <selection activeCell="I3" sqref="I3"/>
    </sheetView>
  </sheetViews>
  <sheetFormatPr defaultRowHeight="14.4" x14ac:dyDescent="0.3"/>
  <cols>
    <col min="1" max="1" width="24.5546875" bestFit="1" customWidth="1"/>
    <col min="2" max="2" width="16.109375" bestFit="1" customWidth="1"/>
    <col min="3" max="3" width="16.44140625" bestFit="1" customWidth="1"/>
    <col min="4" max="4" width="15.33203125" bestFit="1" customWidth="1"/>
    <col min="5" max="5" width="9.33203125" bestFit="1" customWidth="1"/>
    <col min="6" max="6" width="12" bestFit="1" customWidth="1"/>
    <col min="7" max="7" width="17.21875" style="4" bestFit="1" customWidth="1"/>
    <col min="8" max="8" width="13.33203125" style="3" bestFit="1" customWidth="1"/>
    <col min="9" max="9" width="10" style="2" bestFit="1" customWidth="1"/>
  </cols>
  <sheetData>
    <row r="1" spans="1:9" ht="18" thickBo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7" t="s">
        <v>7</v>
      </c>
      <c r="I1" s="8" t="s">
        <v>8</v>
      </c>
    </row>
    <row r="2" spans="1:9" hidden="1" x14ac:dyDescent="0.3">
      <c r="A2">
        <v>100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4">
        <v>9906</v>
      </c>
      <c r="H2" s="3">
        <v>45</v>
      </c>
      <c r="I2" s="2">
        <v>32874</v>
      </c>
    </row>
    <row r="3" spans="1:9" ht="15" thickTop="1" x14ac:dyDescent="0.3">
      <c r="A3" s="9">
        <v>132</v>
      </c>
      <c r="B3" s="10" t="s">
        <v>44</v>
      </c>
      <c r="C3" s="10" t="s">
        <v>45</v>
      </c>
      <c r="D3" s="10" t="s">
        <v>46</v>
      </c>
      <c r="E3" s="10" t="s">
        <v>17</v>
      </c>
      <c r="F3" s="10" t="s">
        <v>47</v>
      </c>
      <c r="G3" s="11">
        <v>9747</v>
      </c>
      <c r="H3" s="12">
        <v>0</v>
      </c>
      <c r="I3" s="15">
        <v>35796</v>
      </c>
    </row>
    <row r="4" spans="1:9" hidden="1" x14ac:dyDescent="0.3">
      <c r="A4">
        <v>124</v>
      </c>
      <c r="B4" s="1" t="s">
        <v>36</v>
      </c>
      <c r="C4" s="1" t="s">
        <v>37</v>
      </c>
      <c r="D4" s="1" t="s">
        <v>38</v>
      </c>
      <c r="E4" s="1" t="s">
        <v>17</v>
      </c>
      <c r="F4" s="1" t="s">
        <v>39</v>
      </c>
      <c r="G4" s="4">
        <v>7222</v>
      </c>
      <c r="H4" s="3">
        <v>23456</v>
      </c>
      <c r="I4" s="2">
        <v>35065</v>
      </c>
    </row>
    <row r="5" spans="1:9" hidden="1" x14ac:dyDescent="0.3">
      <c r="A5">
        <v>116</v>
      </c>
      <c r="B5" s="1" t="s">
        <v>28</v>
      </c>
      <c r="C5" s="1" t="s">
        <v>29</v>
      </c>
      <c r="D5" s="1" t="s">
        <v>30</v>
      </c>
      <c r="E5" s="1" t="s">
        <v>17</v>
      </c>
      <c r="F5" s="1" t="s">
        <v>31</v>
      </c>
      <c r="G5" s="4">
        <v>5903</v>
      </c>
      <c r="H5" s="3">
        <v>222</v>
      </c>
      <c r="I5" s="2">
        <v>34335</v>
      </c>
    </row>
    <row r="6" spans="1:9" x14ac:dyDescent="0.3">
      <c r="A6" s="9">
        <v>128</v>
      </c>
      <c r="B6" s="10" t="s">
        <v>40</v>
      </c>
      <c r="C6" s="10" t="s">
        <v>41</v>
      </c>
      <c r="D6" s="10" t="s">
        <v>42</v>
      </c>
      <c r="E6" s="10" t="s">
        <v>26</v>
      </c>
      <c r="F6" s="10" t="s">
        <v>43</v>
      </c>
      <c r="G6" s="11">
        <v>5640</v>
      </c>
      <c r="H6" s="12">
        <v>95</v>
      </c>
      <c r="I6" s="15">
        <v>35431</v>
      </c>
    </row>
    <row r="7" spans="1:9" hidden="1" x14ac:dyDescent="0.3">
      <c r="A7">
        <v>104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4">
        <v>4596</v>
      </c>
      <c r="H7" s="3">
        <v>8000</v>
      </c>
      <c r="I7" s="2">
        <v>33239</v>
      </c>
    </row>
    <row r="8" spans="1:9" hidden="1" x14ac:dyDescent="0.3">
      <c r="A8">
        <v>112</v>
      </c>
      <c r="B8" s="1" t="s">
        <v>23</v>
      </c>
      <c r="C8" s="1" t="s">
        <v>24</v>
      </c>
      <c r="D8" s="1" t="s">
        <v>25</v>
      </c>
      <c r="E8" s="1" t="s">
        <v>26</v>
      </c>
      <c r="F8" s="1" t="s">
        <v>27</v>
      </c>
      <c r="G8" s="4">
        <v>4163</v>
      </c>
      <c r="H8" s="3">
        <v>2323232</v>
      </c>
      <c r="I8" s="2">
        <v>33970</v>
      </c>
    </row>
    <row r="9" spans="1:9" hidden="1" x14ac:dyDescent="0.3">
      <c r="A9">
        <v>108</v>
      </c>
      <c r="B9" s="1" t="s">
        <v>19</v>
      </c>
      <c r="C9" s="1" t="s">
        <v>20</v>
      </c>
      <c r="D9" s="1" t="s">
        <v>21</v>
      </c>
      <c r="E9" s="1" t="s">
        <v>12</v>
      </c>
      <c r="F9" s="1" t="s">
        <v>22</v>
      </c>
      <c r="G9" s="4">
        <v>3128</v>
      </c>
      <c r="H9" s="3">
        <v>200</v>
      </c>
      <c r="I9" s="2">
        <v>33604</v>
      </c>
    </row>
    <row r="10" spans="1:9" hidden="1" x14ac:dyDescent="0.3">
      <c r="A10">
        <v>120</v>
      </c>
      <c r="B10" s="1" t="s">
        <v>32</v>
      </c>
      <c r="C10" s="1" t="s">
        <v>33</v>
      </c>
      <c r="D10" s="1" t="s">
        <v>34</v>
      </c>
      <c r="E10" s="1" t="s">
        <v>12</v>
      </c>
      <c r="F10" s="1" t="s">
        <v>35</v>
      </c>
      <c r="G10" s="4">
        <v>2112</v>
      </c>
      <c r="H10" s="3">
        <v>60</v>
      </c>
      <c r="I10" s="2">
        <v>34700</v>
      </c>
    </row>
    <row r="11" spans="1:9" hidden="1" x14ac:dyDescent="0.3">
      <c r="A11">
        <v>136</v>
      </c>
      <c r="B11" s="1" t="s">
        <v>48</v>
      </c>
      <c r="C11" s="1" t="s">
        <v>49</v>
      </c>
      <c r="D11" s="1" t="s">
        <v>50</v>
      </c>
      <c r="E11" s="1" t="s">
        <v>26</v>
      </c>
      <c r="F11" s="1" t="s">
        <v>51</v>
      </c>
      <c r="G11" s="4">
        <v>455</v>
      </c>
      <c r="H11" s="3">
        <v>40</v>
      </c>
      <c r="I11" s="2">
        <v>36161</v>
      </c>
    </row>
    <row r="12" spans="1:9" x14ac:dyDescent="0.3">
      <c r="A12" s="9"/>
      <c r="B12" s="10"/>
      <c r="C12" s="10"/>
      <c r="D12" s="10"/>
      <c r="E12" s="10"/>
      <c r="F12" s="10"/>
      <c r="G12" s="11"/>
      <c r="H12" s="12">
        <f>SUM(Customer_Data318[Balance])</f>
        <v>2355350</v>
      </c>
      <c r="I12" s="13"/>
    </row>
  </sheetData>
  <sheetProtection algorithmName="SHA-512" hashValue="z78DqiUtD13V6A/yX0hUDYDYtg4QHp76xoRWQihSyAVxUw9mz5T0M+YwUrqsssjg4SE9AW2XkB4wE91j3FIB3w==" saltValue="eT9+V5Q+wSEQePpJlQWkwg==" spinCount="100000" sheet="1" objects="1" scenarios="1" selectLockedCells="1" selectUnlockedCells="1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28403-58CE-477A-BDEF-DD4B487970E3}">
  <sheetPr>
    <tabColor theme="1" tint="4.9989318521683403E-2"/>
  </sheetPr>
  <dimension ref="A1:I12"/>
  <sheetViews>
    <sheetView tabSelected="1" workbookViewId="0">
      <selection activeCell="J21" sqref="J21"/>
    </sheetView>
  </sheetViews>
  <sheetFormatPr defaultRowHeight="14.4" x14ac:dyDescent="0.3"/>
  <cols>
    <col min="1" max="1" width="24.5546875" bestFit="1" customWidth="1"/>
    <col min="2" max="2" width="16.109375" bestFit="1" customWidth="1"/>
    <col min="3" max="3" width="16.44140625" bestFit="1" customWidth="1"/>
    <col min="4" max="4" width="15.5546875" bestFit="1" customWidth="1"/>
    <col min="5" max="5" width="9.33203125" bestFit="1" customWidth="1"/>
    <col min="6" max="6" width="12" bestFit="1" customWidth="1"/>
    <col min="7" max="7" width="17.21875" style="4" bestFit="1" customWidth="1"/>
    <col min="8" max="8" width="13.33203125" style="3" bestFit="1" customWidth="1"/>
    <col min="9" max="9" width="10" style="2" bestFit="1" customWidth="1"/>
  </cols>
  <sheetData>
    <row r="1" spans="1:9" ht="18" thickBot="1" x14ac:dyDescent="0.3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7" t="s">
        <v>6</v>
      </c>
      <c r="H1" s="18" t="s">
        <v>7</v>
      </c>
      <c r="I1" s="19" t="s">
        <v>8</v>
      </c>
    </row>
    <row r="2" spans="1:9" ht="15" thickTop="1" x14ac:dyDescent="0.3">
      <c r="A2" s="9">
        <v>100</v>
      </c>
      <c r="B2" s="14" t="s">
        <v>9</v>
      </c>
      <c r="C2" s="10" t="s">
        <v>10</v>
      </c>
      <c r="D2" s="10" t="s">
        <v>11</v>
      </c>
      <c r="E2" s="10" t="s">
        <v>12</v>
      </c>
      <c r="F2" s="10" t="s">
        <v>13</v>
      </c>
      <c r="G2" s="11">
        <v>9906</v>
      </c>
      <c r="H2" s="12">
        <v>45</v>
      </c>
      <c r="I2" s="15">
        <v>32874</v>
      </c>
    </row>
    <row r="3" spans="1:9" x14ac:dyDescent="0.3">
      <c r="A3" s="9">
        <v>132</v>
      </c>
      <c r="B3" s="14" t="s">
        <v>44</v>
      </c>
      <c r="C3" s="10" t="s">
        <v>45</v>
      </c>
      <c r="D3" s="10" t="s">
        <v>46</v>
      </c>
      <c r="E3" s="10" t="s">
        <v>17</v>
      </c>
      <c r="F3" s="10" t="s">
        <v>47</v>
      </c>
      <c r="G3" s="11">
        <v>9747</v>
      </c>
      <c r="H3" s="12">
        <v>0</v>
      </c>
      <c r="I3" s="15">
        <v>35796</v>
      </c>
    </row>
    <row r="4" spans="1:9" x14ac:dyDescent="0.3">
      <c r="A4" s="9">
        <v>124</v>
      </c>
      <c r="B4" s="10" t="s">
        <v>36</v>
      </c>
      <c r="C4" s="10" t="s">
        <v>37</v>
      </c>
      <c r="D4" s="10" t="s">
        <v>38</v>
      </c>
      <c r="E4" s="10" t="s">
        <v>17</v>
      </c>
      <c r="F4" s="10" t="s">
        <v>39</v>
      </c>
      <c r="G4" s="11">
        <v>7222</v>
      </c>
      <c r="H4" s="12">
        <v>23456</v>
      </c>
      <c r="I4" s="15">
        <v>35065</v>
      </c>
    </row>
    <row r="5" spans="1:9" x14ac:dyDescent="0.3">
      <c r="A5" s="9">
        <v>116</v>
      </c>
      <c r="B5" s="10" t="s">
        <v>28</v>
      </c>
      <c r="C5" s="10" t="s">
        <v>29</v>
      </c>
      <c r="D5" s="10" t="s">
        <v>30</v>
      </c>
      <c r="E5" s="10" t="s">
        <v>17</v>
      </c>
      <c r="F5" s="10" t="s">
        <v>31</v>
      </c>
      <c r="G5" s="11">
        <v>5903</v>
      </c>
      <c r="H5" s="12">
        <v>222</v>
      </c>
      <c r="I5" s="15">
        <v>34335</v>
      </c>
    </row>
    <row r="6" spans="1:9" x14ac:dyDescent="0.3">
      <c r="A6" s="9">
        <v>128</v>
      </c>
      <c r="B6" s="10" t="s">
        <v>40</v>
      </c>
      <c r="C6" s="10" t="s">
        <v>41</v>
      </c>
      <c r="D6" s="10" t="s">
        <v>42</v>
      </c>
      <c r="E6" s="10" t="s">
        <v>26</v>
      </c>
      <c r="F6" s="10" t="s">
        <v>43</v>
      </c>
      <c r="G6" s="11">
        <v>5640</v>
      </c>
      <c r="H6" s="12">
        <v>95</v>
      </c>
      <c r="I6" s="15">
        <v>35431</v>
      </c>
    </row>
    <row r="7" spans="1:9" x14ac:dyDescent="0.3">
      <c r="A7" s="9">
        <v>104</v>
      </c>
      <c r="B7" s="10" t="s">
        <v>14</v>
      </c>
      <c r="C7" s="10" t="s">
        <v>15</v>
      </c>
      <c r="D7" s="10" t="s">
        <v>16</v>
      </c>
      <c r="E7" s="10" t="s">
        <v>17</v>
      </c>
      <c r="F7" s="10" t="s">
        <v>18</v>
      </c>
      <c r="G7" s="11">
        <v>4596</v>
      </c>
      <c r="H7" s="12">
        <v>8000</v>
      </c>
      <c r="I7" s="15">
        <v>33239</v>
      </c>
    </row>
    <row r="8" spans="1:9" x14ac:dyDescent="0.3">
      <c r="A8" s="9">
        <v>112</v>
      </c>
      <c r="B8" s="10" t="s">
        <v>23</v>
      </c>
      <c r="C8" s="10" t="s">
        <v>24</v>
      </c>
      <c r="D8" s="10" t="s">
        <v>25</v>
      </c>
      <c r="E8" s="10" t="s">
        <v>26</v>
      </c>
      <c r="F8" s="10" t="s">
        <v>27</v>
      </c>
      <c r="G8" s="11">
        <v>4163</v>
      </c>
      <c r="H8" s="12">
        <v>2323232</v>
      </c>
      <c r="I8" s="15">
        <v>33970</v>
      </c>
    </row>
    <row r="9" spans="1:9" x14ac:dyDescent="0.3">
      <c r="A9" s="9">
        <v>120</v>
      </c>
      <c r="B9" s="10" t="s">
        <v>32</v>
      </c>
      <c r="C9" s="10" t="s">
        <v>33</v>
      </c>
      <c r="D9" s="10" t="s">
        <v>34</v>
      </c>
      <c r="E9" s="10" t="s">
        <v>12</v>
      </c>
      <c r="F9" s="10" t="s">
        <v>35</v>
      </c>
      <c r="G9" s="11">
        <v>2112</v>
      </c>
      <c r="H9" s="12">
        <v>60</v>
      </c>
      <c r="I9" s="15">
        <v>34700</v>
      </c>
    </row>
    <row r="10" spans="1:9" x14ac:dyDescent="0.3">
      <c r="A10" s="9">
        <v>108</v>
      </c>
      <c r="B10" s="10" t="s">
        <v>19</v>
      </c>
      <c r="C10" s="10" t="s">
        <v>20</v>
      </c>
      <c r="D10" s="10" t="s">
        <v>21</v>
      </c>
      <c r="E10" s="10" t="s">
        <v>12</v>
      </c>
      <c r="F10" s="10" t="s">
        <v>22</v>
      </c>
      <c r="G10" s="11">
        <v>3128</v>
      </c>
      <c r="H10" s="12">
        <v>200</v>
      </c>
      <c r="I10" s="15">
        <v>33604</v>
      </c>
    </row>
    <row r="11" spans="1:9" x14ac:dyDescent="0.3">
      <c r="A11" s="9">
        <v>136</v>
      </c>
      <c r="B11" s="10" t="s">
        <v>48</v>
      </c>
      <c r="C11" s="10" t="s">
        <v>49</v>
      </c>
      <c r="D11" s="10" t="s">
        <v>50</v>
      </c>
      <c r="E11" s="10" t="s">
        <v>26</v>
      </c>
      <c r="F11" s="10" t="s">
        <v>51</v>
      </c>
      <c r="G11" s="11">
        <v>455</v>
      </c>
      <c r="H11" s="12">
        <v>40</v>
      </c>
      <c r="I11" s="15">
        <v>36161</v>
      </c>
    </row>
    <row r="12" spans="1:9" x14ac:dyDescent="0.3">
      <c r="A12" s="9"/>
      <c r="B12" s="10"/>
      <c r="C12" s="10"/>
      <c r="D12" s="10"/>
      <c r="E12" s="10"/>
      <c r="F12" s="10"/>
      <c r="G12" s="11"/>
      <c r="H12" s="12">
        <f>SUM(Customer_Data319[Balance])</f>
        <v>2355350</v>
      </c>
      <c r="I12" s="13"/>
    </row>
  </sheetData>
  <sheetProtection algorithmName="SHA-512" hashValue="ldiVNGAmIKMqR8TNklkCIYe8XZV+VTpd8Gegnywt4dq2ovoXkoGz5xCck+ANSVHrY/EK61jaAmqCnCxVJmwN5A==" saltValue="z/qYydHwCAducGf/EtC64g==" spinCount="100000" sheet="1" objects="1" scenarios="1" selectLockedCells="1" selectUnlockedCells="1"/>
  <conditionalFormatting sqref="C2:C11">
    <cfRule type="expression" dxfId="2" priority="3">
      <formula>AND($G2&gt;=0,$G2&lt;=4000)</formula>
    </cfRule>
    <cfRule type="expression" dxfId="3" priority="2">
      <formula>AND($G2&gt;4000,$G2&lt;=7000)</formula>
    </cfRule>
    <cfRule type="expression" dxfId="1" priority="1">
      <formula>$G2&gt;7000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D37DD9-5A81-4A74-8530-9DBEC254D0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Raw Customer Data</vt:lpstr>
      <vt:lpstr>Customer Data</vt:lpstr>
      <vt:lpstr>Auto</vt:lpstr>
      <vt:lpstr>DOB</vt:lpstr>
      <vt:lpstr>Balance</vt:lpstr>
      <vt:lpstr>Credit limit</vt:lpstr>
      <vt:lpstr>sum</vt:lpstr>
      <vt:lpstr>First Name</vt:lpstr>
      <vt:lpstr>Custom Sort</vt:lpstr>
      <vt:lpstr>top 3</vt:lpstr>
      <vt:lpstr>M first</vt:lpstr>
      <vt:lpstr>Highlight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binyam siyum</dc:creator>
  <cp:lastModifiedBy>binyam siyum</cp:lastModifiedBy>
  <dcterms:created xsi:type="dcterms:W3CDTF">2025-10-01T20:13:47Z</dcterms:created>
  <dcterms:modified xsi:type="dcterms:W3CDTF">2025-10-02T13:51:08Z</dcterms:modified>
</cp:coreProperties>
</file>